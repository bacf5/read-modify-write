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18F7498F-591D-47FD-B8EA-681E236A9612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<sst xmlns="http://schemas.openxmlformats.org/spreadsheetml/2006/main" count="217" uniqueCount="111">
  <si>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</si>
  <si>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</si>
  <si>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</si>
  <si>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</si>
  <si>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</si>
  <si>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</si>
  <si>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</si>
  <si>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</si>
  <si>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</si>
  <si>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</si>
  <si>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</si>
  <si>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</si>
  <si>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</si>
  <si>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</si>
  <si>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</si>
  <si>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</si>
  <si>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</si>
  <si>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</si>
  <si>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</si>
  <si>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</si>
  <si>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</si>
  <si>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</si>
  <si>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</si>
  <si>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</si>
  <si>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</si>
  <si>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</si>
  <si>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</si>
  <si>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</si>
  <si>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</si>
  <si>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</si>
  <si>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</si>
  <si>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</si>
  <si>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</si>
  <si>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</si>
  <si>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</si>
  <si>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</si>
  <si>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</si>
  <si>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</si>
  <si>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</si>
  <si>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</si>
  <si>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</si>
  <si>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</si>
  <si>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</si>
  <si>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</si>
  <si>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</si>
  <si>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</si>
  <si>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</si>
  <si>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</si>
  <si>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</si>
  <si>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</si>
  <si>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</si>
  <si>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</si>
  <si>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</si>
  <si>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</si>
  <si>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</si>
  <si>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</si>
  <si>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</si>
  <si>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</si>
  <si>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</si>
  <si>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</si>
  <si>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</si>
  <si>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</si>
  <si>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</si>
  <si>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</si>
  <si>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</si>
  <si>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</si>
  <si>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</si>
  <si>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</si>
  <si>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</si>
  <si>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</si>
  <si>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</si>
  <si>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</si>
  <si>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</si>
  <si>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</si>
  <si>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</si>
  <si>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</si>
  <si>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</si>
  <si>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</si>
  <si>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</si>
  <si>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Juan Carlos Montelucero</t>
  </si>
  <si>
    <t>Martin de Loyola 761 - SL</t>
  </si>
  <si>
    <t>WPX</t>
  </si>
  <si>
    <t>QBS</t>
  </si>
  <si>
    <t>Industrias Spar S.A.</t>
  </si>
  <si>
    <t>Calle 109 entre 1 y 3 - SL</t>
  </si>
  <si>
    <t>PAS</t>
  </si>
  <si>
    <t>Hector Walter Calderon</t>
  </si>
  <si>
    <t>Mitre 638 - SL</t>
  </si>
  <si>
    <t>Dra. Romina Gondolo</t>
  </si>
  <si>
    <t>Av. España 712 - SL</t>
  </si>
  <si>
    <t>H472468651</t>
  </si>
  <si>
    <t>Rodolfo Kelisek</t>
  </si>
  <si>
    <t>Inworkx S.A.</t>
  </si>
  <si>
    <t>Las Verbenas B°142 viv. Mz 462 Casa 2 - SL</t>
  </si>
  <si>
    <t>María Ines Mercado - COUNTER SL</t>
  </si>
  <si>
    <t>Gustavo Escudero (NCR SRL)</t>
  </si>
  <si>
    <t>H483295772</t>
  </si>
  <si>
    <t>H483295783</t>
  </si>
  <si>
    <t>1135099</t>
  </si>
  <si>
    <t>NIZA S.A.</t>
  </si>
  <si>
    <t>SEL</t>
  </si>
  <si>
    <t>KR</t>
  </si>
  <si>
    <t>Marcelo Gabriel Neri</t>
  </si>
  <si>
    <t>ORL</t>
  </si>
  <si>
    <t>US</t>
  </si>
  <si>
    <t>AR</t>
  </si>
  <si>
    <t>Angis S.A.</t>
  </si>
  <si>
    <t>ORD</t>
  </si>
  <si>
    <t>Bodega Corral de Palos</t>
  </si>
  <si>
    <t>ROS</t>
  </si>
  <si>
    <t>PRI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</si>
</sst>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3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7</v>
      </c>
      <c r="F1" s="22" t="s">
        <v>45</v>
      </c>
      <c r="G1" s="25">
        <v>44826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12</v>
      </c>
      <c r="F2" s="22" t="s">
        <v>38</v>
      </c>
      <c r="G2" s="24">
        <v>0.33333333333333331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44825</v>
      </c>
      <c r="H3" s="13"/>
    </row>
    <row r="4" spans="1:9" ht="22.5" x14ac:dyDescent="0.3">
      <c r="A4" s="13" t="s">
        <v>44</v>
      </c>
      <c r="B4" s="13" t="s">
        <v>90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3173448574</v>
      </c>
      <c r="C6" s="13" t="s">
        <v>85</v>
      </c>
      <c r="D6" s="13" t="s">
        <v>53</v>
      </c>
      <c r="E6" s="13" t="s">
        <v>52</v>
      </c>
      <c r="F6" s="13" t="s">
        <v>86</v>
      </c>
      <c r="G6" s="17" t="s">
        <v>94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4131204055</v>
      </c>
      <c r="C7" s="13" t="s">
        <v>85</v>
      </c>
      <c r="D7" s="13" t="s">
        <v>53</v>
      </c>
      <c r="E7" s="13" t="s">
        <v>52</v>
      </c>
      <c r="F7" s="13" t="s">
        <v>91</v>
      </c>
      <c r="G7" s="17" t="s">
        <v>87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2</v>
      </c>
      <c r="I22" s="13">
        <f>SUM(I6:I21)</f>
        <v>2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1441073093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3099793152</v>
      </c>
      <c r="C25" s="13" t="s">
        <v>81</v>
      </c>
      <c r="D25" s="13" t="s">
        <v>82</v>
      </c>
      <c r="E25" s="13" t="s">
        <v>52</v>
      </c>
      <c r="F25" s="13" t="s">
        <v>83</v>
      </c>
      <c r="G25" s="13" t="s">
        <v>84</v>
      </c>
      <c r="H25" s="13">
        <v>1</v>
      </c>
      <c r="I25" s="13">
        <v>1</v>
      </c>
    </row>
    <row r="26" spans="1:9" s="18" customFormat="1" ht="22.5" x14ac:dyDescent="0.3">
      <c r="A26" s="20">
        <f t="shared" si="1"/>
        <v>3</v>
      </c>
      <c r="B26" s="13">
        <v>3783898893</v>
      </c>
      <c r="C26" s="13" t="s">
        <v>78</v>
      </c>
      <c r="D26" s="13" t="s">
        <v>53</v>
      </c>
      <c r="E26" s="13" t="s">
        <v>52</v>
      </c>
      <c r="F26" s="13" t="s">
        <v>88</v>
      </c>
      <c r="G26" s="13" t="s">
        <v>89</v>
      </c>
      <c r="H26" s="13">
        <v>1</v>
      </c>
      <c r="I26" s="13">
        <v>1</v>
      </c>
    </row>
    <row r="27" spans="1:9" s="18" customFormat="1" ht="22.5" x14ac:dyDescent="0.3">
      <c r="A27" s="20">
        <f t="shared" si="1"/>
        <v>4</v>
      </c>
      <c r="B27" s="13">
        <v>3784049393</v>
      </c>
      <c r="C27" s="13" t="s">
        <v>78</v>
      </c>
      <c r="D27" s="13" t="s">
        <v>53</v>
      </c>
      <c r="E27" s="13" t="s">
        <v>52</v>
      </c>
      <c r="F27" s="13" t="s">
        <v>95</v>
      </c>
      <c r="G27" s="13" t="s">
        <v>87</v>
      </c>
      <c r="H27" s="13">
        <v>1</v>
      </c>
      <c r="I27" s="13">
        <v>2</v>
      </c>
    </row>
    <row r="28" spans="1:9" ht="22.5" x14ac:dyDescent="0.3">
      <c r="A28" s="20">
        <f t="shared" si="1"/>
        <v>5</v>
      </c>
      <c r="B28" s="13">
        <v>7498282142</v>
      </c>
      <c r="C28" s="13" t="s">
        <v>78</v>
      </c>
      <c r="D28" s="13" t="s">
        <v>53</v>
      </c>
      <c r="E28" s="13" t="s">
        <v>52</v>
      </c>
      <c r="F28" s="13" t="s">
        <v>92</v>
      </c>
      <c r="G28" s="13" t="s">
        <v>93</v>
      </c>
      <c r="H28" s="13">
        <v>1</v>
      </c>
      <c r="I28" s="13">
        <v>4</v>
      </c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5</v>
      </c>
      <c r="I41" s="13">
        <f>SUM(I24:I40)</f>
        <v>10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44826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7</v>
      </c>
      <c r="G4" s="26" t="s">
        <v>31</v>
      </c>
      <c r="H4" s="30">
        <f>'Carga de Datos'!E2</f>
        <v>12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44826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1441073093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DOM</v>
      </c>
      <c r="H9" s="4"/>
      <c r="I9" s="4"/>
      <c r="J9" s="9"/>
    </row>
    <row r="10" spans="1:14" x14ac:dyDescent="0.25">
      <c r="A10" s="99"/>
      <c r="B10" s="104" t="str">
        <f>'Carga de Datos'!F24</f>
        <v>Juan Carlos Montelucero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Martin de Loyola 761 -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3099793152</v>
      </c>
      <c r="C12" s="9"/>
      <c r="D12" s="9"/>
      <c r="E12" s="10">
        <f>'Carga de Datos'!H25</f>
        <v>1</v>
      </c>
      <c r="F12" s="21">
        <f>'Carga de Datos'!I25</f>
        <v>1</v>
      </c>
      <c r="G12" s="11" t="str">
        <f>'Carga de Datos'!C25</f>
        <v>WPX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Industrias Spar S.A.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Calle 109 entre 1 y 3 -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3783898893</v>
      </c>
      <c r="C15" s="9"/>
      <c r="D15" s="9"/>
      <c r="E15" s="10">
        <f>'Carga de Datos'!H26</f>
        <v>1</v>
      </c>
      <c r="F15" s="21">
        <f>'Carga de Datos'!I26</f>
        <v>1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Dra. Romina Gondolo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Av. España 712 -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3784049393</v>
      </c>
      <c r="C18" s="9"/>
      <c r="D18" s="9"/>
      <c r="E18" s="10">
        <f>'Carga de Datos'!H27</f>
        <v>1</v>
      </c>
      <c r="F18" s="21">
        <f>'Carga de Datos'!I27</f>
        <v>2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Gustavo Escudero (NCR SRL)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Mitre 638 -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7498282142</v>
      </c>
      <c r="C21" s="9"/>
      <c r="D21" s="9"/>
      <c r="E21" s="10">
        <f>'Carga de Datos'!H28</f>
        <v>1</v>
      </c>
      <c r="F21" s="21">
        <f>'Carga de Datos'!I28</f>
        <v>4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Inworkx S.A.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Las Verbenas B°142 viv. Mz 462 Casa 2 -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44826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7</v>
      </c>
      <c r="G4" s="26" t="s">
        <v>31</v>
      </c>
      <c r="H4" s="30">
        <f>'Carga de Datos'!E2</f>
        <v>12</v>
      </c>
      <c r="I4" s="26" t="s">
        <v>36</v>
      </c>
      <c r="J4" s="29" t="str">
        <f>'Carga de Datos'!B4</f>
        <v>H472468651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44826</v>
      </c>
      <c r="C5" s="28" t="s">
        <v>1</v>
      </c>
      <c r="D5" s="31">
        <f>'Carga de Datos'!G2</f>
        <v>0.33333333333333331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3173448574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Hector Walter Calderon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María Ines Mercado - COUNTER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4131204055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99"/>
      <c r="B13" s="104" t="str">
        <f>'Carga de Datos'!F7</f>
        <v>Rodolfo Kelisek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Datos'!G7</f>
        <v>Mitre 638 -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zoomScale="68" zoomScaleNormal="68" zoomScaleSheetLayoutView="85" workbookViewId="0">
      <selection activeCell="B8" sqref="B8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44826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69" t="s">
        <v>98</v>
      </c>
      <c r="C7" s="45"/>
      <c r="D7" s="125">
        <f>G59</f>
        <v>156.30000000000004</v>
      </c>
      <c r="E7" s="126"/>
      <c r="F7" s="46"/>
      <c r="G7" s="45"/>
      <c r="H7" s="170">
        <v>1</v>
      </c>
      <c r="I7" s="172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70">
        <v>21</v>
      </c>
      <c r="I9" s="171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7" t="s">
        <v>51</v>
      </c>
      <c r="F10" s="128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29" t="s">
        <v>53</v>
      </c>
      <c r="F11" s="130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1"/>
      <c r="E13" s="132"/>
      <c r="F13" s="133"/>
      <c r="G13" s="41"/>
      <c r="H13" s="134"/>
      <c r="I13" s="133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5">
        <f>I4+1</f>
        <v>44827</v>
      </c>
      <c r="E14" s="136"/>
      <c r="F14" s="137"/>
      <c r="G14" s="45"/>
      <c r="H14" s="138"/>
      <c r="I14" s="139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0"/>
      <c r="C16" s="141"/>
      <c r="D16" s="141"/>
      <c r="E16" s="141"/>
      <c r="F16" s="141"/>
      <c r="G16" s="141"/>
      <c r="H16" s="141"/>
      <c r="I16" s="142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3" t="s">
        <v>56</v>
      </c>
      <c r="F17" s="143"/>
      <c r="G17" s="143"/>
      <c r="H17" s="143"/>
      <c r="I17" s="144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45"/>
      <c r="F18" s="145"/>
      <c r="G18" s="145"/>
      <c r="H18" s="146"/>
      <c r="I18" s="147"/>
      <c r="J18" s="39"/>
    </row>
    <row r="19" spans="1:10" ht="24.75" customHeight="1" thickBot="1" x14ac:dyDescent="0.3">
      <c r="A19" s="38"/>
      <c r="B19" s="64" t="s">
        <v>58</v>
      </c>
      <c r="C19" s="65">
        <v>3</v>
      </c>
      <c r="D19" s="66">
        <v>3</v>
      </c>
      <c r="E19" s="145"/>
      <c r="F19" s="145"/>
      <c r="G19" s="145"/>
      <c r="H19" s="146"/>
      <c r="I19" s="147"/>
      <c r="J19" s="39"/>
    </row>
    <row r="20" spans="1:10" ht="24.75" customHeight="1" thickBot="1" x14ac:dyDescent="0.3">
      <c r="A20" s="38"/>
      <c r="B20" s="64" t="s">
        <v>59</v>
      </c>
      <c r="C20" s="65">
        <v>10</v>
      </c>
      <c r="D20" s="66">
        <v>22</v>
      </c>
      <c r="E20" s="148"/>
      <c r="F20" s="149"/>
      <c r="G20" s="149"/>
      <c r="H20" s="150"/>
      <c r="I20" s="151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5"/>
      <c r="F21" s="145"/>
      <c r="G21" s="145"/>
      <c r="H21" s="146"/>
      <c r="I21" s="147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5"/>
      <c r="F22" s="145"/>
      <c r="G22" s="145"/>
      <c r="H22" s="146"/>
      <c r="I22" s="147"/>
      <c r="J22" s="39"/>
    </row>
    <row r="23" spans="1:10" ht="19.5" customHeight="1" thickBot="1" x14ac:dyDescent="0.3">
      <c r="A23" s="38"/>
      <c r="B23" s="64" t="s">
        <v>62</v>
      </c>
      <c r="C23" s="65"/>
      <c r="D23" s="66"/>
      <c r="E23" s="154"/>
      <c r="F23" s="155"/>
      <c r="G23" s="155"/>
      <c r="H23" s="155"/>
      <c r="I23" s="156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54"/>
      <c r="F24" s="155"/>
      <c r="G24" s="155"/>
      <c r="H24" s="155"/>
      <c r="I24" s="156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7" t="s">
        <v>65</v>
      </c>
      <c r="D26" s="157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8" t="s">
        <v>96</v>
      </c>
      <c r="J27" s="159"/>
    </row>
    <row r="28" spans="1:10" ht="15" customHeight="1" x14ac:dyDescent="0.25">
      <c r="A28" s="38"/>
      <c r="B28" s="73">
        <v>2477028643</v>
      </c>
      <c r="C28" s="152" t="s">
        <v>99</v>
      </c>
      <c r="D28" s="153"/>
      <c r="E28" s="74" t="s">
        <v>81</v>
      </c>
      <c r="F28" s="74" t="s">
        <v>100</v>
      </c>
      <c r="G28" s="74">
        <v>4.5</v>
      </c>
      <c r="H28" s="74">
        <v>1</v>
      </c>
      <c r="I28" s="92" t="s">
        <v>101</v>
      </c>
      <c r="J28" s="39"/>
    </row>
    <row r="29" spans="1:10" ht="15" customHeight="1" x14ac:dyDescent="0.25">
      <c r="A29" s="38"/>
      <c r="B29" s="76">
        <v>6318846940</v>
      </c>
      <c r="C29" s="152" t="s">
        <v>102</v>
      </c>
      <c r="D29" s="153"/>
      <c r="E29" s="74" t="s">
        <v>81</v>
      </c>
      <c r="F29" s="74" t="s">
        <v>103</v>
      </c>
      <c r="G29" s="74">
        <v>1</v>
      </c>
      <c r="H29" s="74">
        <v>1</v>
      </c>
      <c r="I29" s="75" t="s">
        <v>104</v>
      </c>
      <c r="J29" s="39"/>
    </row>
    <row r="30" spans="1:10" ht="15" customHeight="1" x14ac:dyDescent="0.25">
      <c r="A30" s="38"/>
      <c r="B30" s="76">
        <v>5262349304</v>
      </c>
      <c r="C30" s="152" t="s">
        <v>95</v>
      </c>
      <c r="D30" s="153"/>
      <c r="E30" s="74" t="s">
        <v>78</v>
      </c>
      <c r="F30" s="74" t="s">
        <v>53</v>
      </c>
      <c r="G30" s="74">
        <v>6</v>
      </c>
      <c r="H30" s="74">
        <v>2</v>
      </c>
      <c r="I30" s="75" t="s">
        <v>105</v>
      </c>
      <c r="J30" s="39"/>
    </row>
    <row r="31" spans="1:10" ht="15" customHeight="1" x14ac:dyDescent="0.25">
      <c r="A31" s="38"/>
      <c r="B31" s="76"/>
      <c r="C31" s="152"/>
      <c r="D31" s="153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52"/>
      <c r="D32" s="153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2"/>
      <c r="D33" s="153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2"/>
      <c r="D34" s="153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6" t="s">
        <v>75</v>
      </c>
      <c r="D35" s="167"/>
      <c r="E35" s="74"/>
      <c r="F35" s="74"/>
      <c r="G35" s="74"/>
      <c r="H35" s="74"/>
      <c r="I35" s="94" t="s">
        <v>97</v>
      </c>
      <c r="J35" s="39"/>
    </row>
    <row r="36" spans="1:10" ht="15" customHeight="1" x14ac:dyDescent="0.25">
      <c r="A36" s="38"/>
      <c r="B36" s="76">
        <v>5135206591</v>
      </c>
      <c r="C36" s="152" t="s">
        <v>95</v>
      </c>
      <c r="D36" s="153"/>
      <c r="E36" s="74" t="s">
        <v>78</v>
      </c>
      <c r="F36" s="74" t="s">
        <v>53</v>
      </c>
      <c r="G36" s="74">
        <v>48</v>
      </c>
      <c r="H36" s="74">
        <v>12</v>
      </c>
      <c r="I36" s="75" t="s">
        <v>105</v>
      </c>
      <c r="J36" s="39"/>
    </row>
    <row r="37" spans="1:10" ht="15" customHeight="1" x14ac:dyDescent="0.25">
      <c r="A37" s="38"/>
      <c r="B37" s="76">
        <v>5262356945</v>
      </c>
      <c r="C37" s="152" t="s">
        <v>95</v>
      </c>
      <c r="D37" s="153"/>
      <c r="E37" s="74" t="s">
        <v>78</v>
      </c>
      <c r="F37" s="74" t="s">
        <v>53</v>
      </c>
      <c r="G37" s="74">
        <v>15</v>
      </c>
      <c r="H37" s="74">
        <v>1</v>
      </c>
      <c r="I37" s="75" t="s">
        <v>105</v>
      </c>
      <c r="J37" s="90"/>
    </row>
    <row r="38" spans="1:10" ht="15" customHeight="1" x14ac:dyDescent="0.25">
      <c r="A38" s="38"/>
      <c r="B38" s="76">
        <v>9768571433</v>
      </c>
      <c r="C38" s="152" t="s">
        <v>95</v>
      </c>
      <c r="D38" s="153"/>
      <c r="E38" s="74" t="s">
        <v>78</v>
      </c>
      <c r="F38" s="74" t="s">
        <v>53</v>
      </c>
      <c r="G38" s="74">
        <v>10</v>
      </c>
      <c r="H38" s="74">
        <v>1</v>
      </c>
      <c r="I38" s="75" t="s">
        <v>105</v>
      </c>
      <c r="J38" s="39"/>
    </row>
    <row r="39" spans="1:10" ht="15" customHeight="1" x14ac:dyDescent="0.25">
      <c r="A39" s="38"/>
      <c r="B39" s="76">
        <v>1554891133</v>
      </c>
      <c r="C39" s="152" t="s">
        <v>106</v>
      </c>
      <c r="D39" s="153"/>
      <c r="E39" s="74" t="s">
        <v>81</v>
      </c>
      <c r="F39" s="74" t="s">
        <v>107</v>
      </c>
      <c r="G39" s="74">
        <v>25</v>
      </c>
      <c r="H39" s="74">
        <v>1</v>
      </c>
      <c r="I39" s="75" t="s">
        <v>104</v>
      </c>
      <c r="J39" s="39"/>
    </row>
    <row r="40" spans="1:10" ht="15" customHeight="1" x14ac:dyDescent="0.25">
      <c r="A40" s="38"/>
      <c r="B40" s="76">
        <v>1554845530</v>
      </c>
      <c r="C40" s="152" t="s">
        <v>108</v>
      </c>
      <c r="D40" s="153"/>
      <c r="E40" s="74" t="s">
        <v>78</v>
      </c>
      <c r="F40" s="74" t="s">
        <v>109</v>
      </c>
      <c r="G40" s="74">
        <v>7.8</v>
      </c>
      <c r="H40" s="74">
        <v>1</v>
      </c>
      <c r="I40" s="75" t="s">
        <v>105</v>
      </c>
      <c r="J40" s="39"/>
    </row>
    <row r="41" spans="1:10" ht="15" customHeight="1" x14ac:dyDescent="0.25">
      <c r="A41" s="38"/>
      <c r="B41" s="76">
        <v>6318732070</v>
      </c>
      <c r="C41" s="152" t="s">
        <v>108</v>
      </c>
      <c r="D41" s="153"/>
      <c r="E41" s="74" t="s">
        <v>78</v>
      </c>
      <c r="F41" s="74" t="s">
        <v>53</v>
      </c>
      <c r="G41" s="74">
        <v>7.8</v>
      </c>
      <c r="H41" s="74">
        <v>1</v>
      </c>
      <c r="I41" s="75" t="s">
        <v>105</v>
      </c>
      <c r="J41" s="39"/>
    </row>
    <row r="42" spans="1:10" ht="15" customHeight="1" x14ac:dyDescent="0.25">
      <c r="A42" s="38"/>
      <c r="B42" s="76">
        <v>6318727984</v>
      </c>
      <c r="C42" s="152" t="s">
        <v>108</v>
      </c>
      <c r="D42" s="153"/>
      <c r="E42" s="74" t="s">
        <v>78</v>
      </c>
      <c r="F42" s="74" t="s">
        <v>110</v>
      </c>
      <c r="G42" s="74">
        <v>7.8</v>
      </c>
      <c r="H42" s="74">
        <v>1</v>
      </c>
      <c r="I42" s="75" t="s">
        <v>105</v>
      </c>
      <c r="J42" s="39"/>
    </row>
    <row r="43" spans="1:10" ht="15" customHeight="1" x14ac:dyDescent="0.25">
      <c r="A43" s="38"/>
      <c r="B43" s="76">
        <v>6318725033</v>
      </c>
      <c r="C43" s="152" t="s">
        <v>108</v>
      </c>
      <c r="D43" s="153"/>
      <c r="E43" s="74" t="s">
        <v>78</v>
      </c>
      <c r="F43" s="74" t="s">
        <v>53</v>
      </c>
      <c r="G43" s="74">
        <v>7.8</v>
      </c>
      <c r="H43" s="74">
        <v>1</v>
      </c>
      <c r="I43" s="75" t="s">
        <v>105</v>
      </c>
      <c r="J43" s="39"/>
    </row>
    <row r="44" spans="1:10" ht="15" customHeight="1" x14ac:dyDescent="0.25">
      <c r="A44" s="38"/>
      <c r="B44" s="76">
        <v>6318720516</v>
      </c>
      <c r="C44" s="152" t="s">
        <v>108</v>
      </c>
      <c r="D44" s="153"/>
      <c r="E44" s="74" t="s">
        <v>78</v>
      </c>
      <c r="F44" s="74" t="s">
        <v>53</v>
      </c>
      <c r="G44" s="74">
        <v>7.8</v>
      </c>
      <c r="H44" s="74">
        <v>1</v>
      </c>
      <c r="I44" s="75" t="s">
        <v>105</v>
      </c>
      <c r="J44" s="39"/>
    </row>
    <row r="45" spans="1:10" ht="15" customHeight="1" x14ac:dyDescent="0.25">
      <c r="A45" s="38"/>
      <c r="B45" s="76">
        <v>6318716876</v>
      </c>
      <c r="C45" s="152" t="s">
        <v>108</v>
      </c>
      <c r="D45" s="153"/>
      <c r="E45" s="74" t="s">
        <v>78</v>
      </c>
      <c r="F45" s="74" t="s">
        <v>53</v>
      </c>
      <c r="G45" s="74">
        <v>7.8</v>
      </c>
      <c r="H45" s="74">
        <v>1</v>
      </c>
      <c r="I45" s="75" t="s">
        <v>105</v>
      </c>
      <c r="J45" s="39"/>
    </row>
    <row r="46" spans="1:10" ht="15" customHeight="1" x14ac:dyDescent="0.25">
      <c r="A46" s="38"/>
      <c r="B46" s="76"/>
      <c r="C46" s="152"/>
      <c r="D46" s="153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2"/>
      <c r="D47" s="153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2"/>
      <c r="D48" s="153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2"/>
      <c r="D49" s="153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2"/>
      <c r="D50" s="153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2"/>
      <c r="D51" s="153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2"/>
      <c r="D52" s="153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2"/>
      <c r="D53" s="153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2"/>
      <c r="D54" s="153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2"/>
      <c r="D55" s="153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2"/>
      <c r="D56" s="153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2"/>
      <c r="D57" s="153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8"/>
      <c r="D58" s="168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0" t="s">
        <v>70</v>
      </c>
      <c r="D59" s="160"/>
      <c r="E59" s="89"/>
      <c r="F59" s="89"/>
      <c r="G59" s="89">
        <f>SUM(G28:G58)</f>
        <v>156.30000000000004</v>
      </c>
      <c r="H59" s="89">
        <f>SUM(H28:H58)</f>
        <v>25</v>
      </c>
      <c r="I59" s="87"/>
      <c r="J59" s="39"/>
    </row>
    <row r="60" spans="1:10" ht="15" customHeight="1" x14ac:dyDescent="0.2">
      <c r="A60" s="38"/>
      <c r="B60" s="73"/>
      <c r="C60" s="160"/>
      <c r="D60" s="160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1" t="s">
        <v>71</v>
      </c>
      <c r="C61" s="162"/>
      <c r="D61" s="162"/>
      <c r="E61" s="162"/>
      <c r="F61" s="162"/>
      <c r="G61" s="162"/>
      <c r="H61" s="162"/>
      <c r="I61" s="163"/>
      <c r="J61" s="39"/>
    </row>
    <row r="62" spans="1:10" ht="15" customHeight="1" x14ac:dyDescent="0.2">
      <c r="A62" s="38"/>
      <c r="B62" s="73"/>
      <c r="C62" s="164"/>
      <c r="D62" s="165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60"/>
      <c r="D63" s="160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0"/>
      <c r="D64" s="160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0"/>
      <c r="D65" s="160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0"/>
      <c r="D66" s="160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0"/>
      <c r="D67" s="160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0"/>
      <c r="D68" s="160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0"/>
      <c r="D69" s="160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2022-09-22T12:08:38Z</cp:lastPrinted>
  <dcterms:created xsi:type="dcterms:W3CDTF">2016-08-11T13:59:12Z</dcterms:created>
  <dcterms:modified xsi:type="dcterms:W3CDTF">2022-09-22T20:04:21Z</dcterms:modified>
</cp:coreProperties>
</file>