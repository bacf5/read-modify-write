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B88C3EE5-696A-4DCC-89C7-A085BC92CF10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<sst xmlns="http://schemas.openxmlformats.org/spreadsheetml/2006/main" count="186" uniqueCount="110">
  <si>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</si>
  <si>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</si>
  <si>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</si>
  <si>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</si>
  <si>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</si>
  <si>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</si>
  <si>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</si>
  <si>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</si>
  <si>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</si>
  <si>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</si>
  <si>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</si>
  <si>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</si>
  <si>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</si>
  <si>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</si>
  <si>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</si>
  <si>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</si>
  <si>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</si>
  <si>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</si>
  <si>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</si>
  <si>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</si>
  <si>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</si>
  <si>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</si>
  <si>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</si>
  <si>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</si>
  <si>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</si>
  <si>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</si>
  <si>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</si>
  <si>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</si>
  <si>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</si>
  <si>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</si>
  <si>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</si>
  <si>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</si>
  <si>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</si>
  <si>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</si>
  <si>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</si>
  <si>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</si>
  <si>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</si>
  <si>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</si>
  <si>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</si>
  <si>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</si>
  <si>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</si>
  <si>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</si>
  <si>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</si>
  <si>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</si>
  <si>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</si>
  <si>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</si>
  <si>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</si>
  <si>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</si>
  <si>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</si>
  <si>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</si>
  <si>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</si>
  <si>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</si>
  <si>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</si>
  <si>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</si>
  <si>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</si>
  <si>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</si>
  <si>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</si>
  <si>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</si>
  <si>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</si>
  <si>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</si>
  <si>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</si>
  <si>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</si>
  <si>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</si>
  <si>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</si>
  <si>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</si>
  <si>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</si>
  <si>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</si>
  <si>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</si>
  <si>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</si>
  <si>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</si>
  <si>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</si>
  <si>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</si>
  <si>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</si>
  <si>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</si>
  <si>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</si>
  <si>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</si>
  <si>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</si>
  <si>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</si>
  <si>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</si>
  <si>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Guillermo Esquerre Delaunay</t>
  </si>
  <si>
    <t>La Rioja 431 Depto 6 - SL</t>
  </si>
  <si>
    <t>Juan Carlos Montelucero</t>
  </si>
  <si>
    <t>Martin de Loyola 761 - SL</t>
  </si>
  <si>
    <t>WPX</t>
  </si>
  <si>
    <t>FFT</t>
  </si>
  <si>
    <t>Miriam Valles</t>
  </si>
  <si>
    <t>B° Amppya Mz 13 Casa 25 - SL</t>
  </si>
  <si>
    <t>MSY</t>
  </si>
  <si>
    <t>Arcor SAIC</t>
  </si>
  <si>
    <t>Calle 113 entre 1 y 3 - SL</t>
  </si>
  <si>
    <t>Dr. Lucero</t>
  </si>
  <si>
    <t>San Juan 980 - SL</t>
  </si>
  <si>
    <t>H472466131</t>
  </si>
  <si>
    <t>H525617982</t>
  </si>
  <si>
    <t>PAS</t>
  </si>
  <si>
    <t>Jeronimo Lobo Ponticelli</t>
  </si>
  <si>
    <t>Mitre 638 - SL</t>
  </si>
  <si>
    <t>1088782</t>
  </si>
  <si>
    <t>H483295201</t>
  </si>
  <si>
    <t>H483295212</t>
  </si>
  <si>
    <t>Gustavo Escudero (NCR SRL)</t>
  </si>
  <si>
    <t>AR</t>
  </si>
  <si>
    <t>NIZA S.A.</t>
  </si>
  <si>
    <t>NTE</t>
  </si>
  <si>
    <t>FR</t>
  </si>
  <si>
    <t>Salud Renal San Luis</t>
  </si>
  <si>
    <t>WMX</t>
  </si>
  <si>
    <t>SER</t>
  </si>
  <si>
    <t>US</t>
  </si>
  <si>
    <t>Bolsin P&amp;P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</si>
</sst>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B27" sqref="B27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7</v>
      </c>
      <c r="F1" s="22" t="s">
        <v>45</v>
      </c>
      <c r="G1" s="25">
        <v>44805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48</v>
      </c>
      <c r="F2" s="22" t="s">
        <v>38</v>
      </c>
      <c r="G2" s="24">
        <v>0.40972222222222227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44804</v>
      </c>
      <c r="H3" s="13"/>
    </row>
    <row r="4" spans="1:9" ht="22.5" x14ac:dyDescent="0.3">
      <c r="A4" s="13" t="s">
        <v>44</v>
      </c>
      <c r="B4" s="13" t="s">
        <v>92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8331118810</v>
      </c>
      <c r="C6" s="13" t="s">
        <v>94</v>
      </c>
      <c r="D6" s="13" t="s">
        <v>53</v>
      </c>
      <c r="E6" s="13" t="s">
        <v>52</v>
      </c>
      <c r="F6" s="13" t="s">
        <v>95</v>
      </c>
      <c r="G6" s="17" t="s">
        <v>96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93</v>
      </c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2593831273</v>
      </c>
      <c r="C24" s="13" t="s">
        <v>78</v>
      </c>
      <c r="D24" s="13" t="s">
        <v>53</v>
      </c>
      <c r="E24" s="13" t="s">
        <v>52</v>
      </c>
      <c r="F24" s="13" t="s">
        <v>79</v>
      </c>
      <c r="G24" s="13" t="s">
        <v>80</v>
      </c>
      <c r="H24" s="13">
        <v>1</v>
      </c>
      <c r="I24" s="13">
        <v>1</v>
      </c>
    </row>
    <row r="25" spans="1:9" ht="22.5" x14ac:dyDescent="0.3">
      <c r="A25" s="20">
        <f t="shared" si="1"/>
        <v>2</v>
      </c>
      <c r="B25" s="13">
        <v>5047782596</v>
      </c>
      <c r="C25" s="13" t="s">
        <v>78</v>
      </c>
      <c r="D25" s="13" t="s">
        <v>53</v>
      </c>
      <c r="E25" s="13" t="s">
        <v>52</v>
      </c>
      <c r="F25" s="13" t="s">
        <v>81</v>
      </c>
      <c r="G25" s="13" t="s">
        <v>82</v>
      </c>
      <c r="H25" s="13">
        <v>1</v>
      </c>
      <c r="I25" s="13">
        <v>2</v>
      </c>
    </row>
    <row r="26" spans="1:9" s="18" customFormat="1" ht="22.5" x14ac:dyDescent="0.3">
      <c r="A26" s="20">
        <f t="shared" si="1"/>
        <v>3</v>
      </c>
      <c r="B26" s="13">
        <v>5354017900</v>
      </c>
      <c r="C26" s="13" t="s">
        <v>83</v>
      </c>
      <c r="D26" s="13" t="s">
        <v>84</v>
      </c>
      <c r="E26" s="13" t="s">
        <v>52</v>
      </c>
      <c r="F26" s="13" t="s">
        <v>85</v>
      </c>
      <c r="G26" s="13" t="s">
        <v>86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7010536713</v>
      </c>
      <c r="C27" s="13" t="s">
        <v>83</v>
      </c>
      <c r="D27" s="13" t="s">
        <v>87</v>
      </c>
      <c r="E27" s="13" t="s">
        <v>52</v>
      </c>
      <c r="F27" s="13" t="s">
        <v>88</v>
      </c>
      <c r="G27" s="13" t="s">
        <v>89</v>
      </c>
      <c r="H27" s="13">
        <v>2</v>
      </c>
      <c r="I27" s="13">
        <v>40</v>
      </c>
    </row>
    <row r="28" spans="1:9" ht="22.5" x14ac:dyDescent="0.3">
      <c r="A28" s="20">
        <f t="shared" si="1"/>
        <v>5</v>
      </c>
      <c r="B28" s="13">
        <v>8322561623</v>
      </c>
      <c r="C28" s="13" t="s">
        <v>78</v>
      </c>
      <c r="D28" s="13" t="s">
        <v>53</v>
      </c>
      <c r="E28" s="13" t="s">
        <v>52</v>
      </c>
      <c r="F28" s="13" t="s">
        <v>90</v>
      </c>
      <c r="G28" s="13" t="s">
        <v>91</v>
      </c>
      <c r="H28" s="13">
        <v>1</v>
      </c>
      <c r="I28" s="13">
        <v>2</v>
      </c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6</v>
      </c>
      <c r="I41" s="13">
        <f>SUM(I24:I40)</f>
        <v>47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44805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7</v>
      </c>
      <c r="G4" s="26" t="s">
        <v>31</v>
      </c>
      <c r="H4" s="30">
        <f>'Carga de Datos'!E2</f>
        <v>48</v>
      </c>
      <c r="I4" s="26" t="s">
        <v>36</v>
      </c>
      <c r="J4" s="29" t="str">
        <f>'Carga de Datos'!B22</f>
        <v>H525617982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44805</v>
      </c>
      <c r="C5" s="28" t="s">
        <v>1</v>
      </c>
      <c r="D5" s="31">
        <f>'Carga de Datos'!G2</f>
        <v>0.40972222222222227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2593831273</v>
      </c>
      <c r="C9" s="9"/>
      <c r="D9" s="9"/>
      <c r="E9" s="10">
        <f>'Carga de Datos'!H24</f>
        <v>1</v>
      </c>
      <c r="F9" s="21">
        <f>'Carga de Datos'!I24</f>
        <v>1</v>
      </c>
      <c r="G9" s="11" t="str">
        <f>'Carga de Datos'!C24</f>
        <v>DOM</v>
      </c>
      <c r="H9" s="4"/>
      <c r="I9" s="4"/>
      <c r="J9" s="9"/>
    </row>
    <row r="10" spans="1:14" x14ac:dyDescent="0.25">
      <c r="A10" s="99"/>
      <c r="B10" s="104" t="str">
        <f>'Carga de Datos'!F24</f>
        <v>Guillermo Esquerre Delaunay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La Rioja 431 Depto 6 -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5047782596</v>
      </c>
      <c r="C12" s="9"/>
      <c r="D12" s="9"/>
      <c r="E12" s="10">
        <f>'Carga de Datos'!H25</f>
        <v>1</v>
      </c>
      <c r="F12" s="21">
        <f>'Carga de Datos'!I25</f>
        <v>2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Juan Carlos Montelucero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Martin de Loyola 761 -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5354017900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WPX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Miriam Valles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B° Amppya Mz 13 Casa 25 -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7010536713</v>
      </c>
      <c r="C18" s="9"/>
      <c r="D18" s="9"/>
      <c r="E18" s="10">
        <f>'Carga de Datos'!H27</f>
        <v>2</v>
      </c>
      <c r="F18" s="21">
        <f>'Carga de Datos'!I27</f>
        <v>40</v>
      </c>
      <c r="G18" s="11" t="str">
        <f>'Carga de Datos'!C27</f>
        <v>WPX</v>
      </c>
      <c r="H18" s="4"/>
      <c r="I18" s="4"/>
      <c r="J18" s="9"/>
    </row>
    <row r="19" spans="1:10" ht="15" customHeight="1" x14ac:dyDescent="0.25">
      <c r="A19" s="99"/>
      <c r="B19" s="104" t="str">
        <f>'Carga de Datos'!F27</f>
        <v>Arcor SAIC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Datos'!G27</f>
        <v>Calle 113 entre 1 y 3 -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8322561623</v>
      </c>
      <c r="C21" s="9"/>
      <c r="D21" s="9"/>
      <c r="E21" s="10">
        <f>'Carga de Datos'!H28</f>
        <v>1</v>
      </c>
      <c r="F21" s="21">
        <f>'Carga de Datos'!I28</f>
        <v>2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99"/>
      <c r="B22" s="104" t="str">
        <f>'Carga de Datos'!F28</f>
        <v>Dr. Lucero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Datos'!G28</f>
        <v>San Juan 980 -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99"/>
      <c r="B25" s="104">
        <f>'Carga de Datos'!F29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Datos'!G29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99"/>
      <c r="B28" s="104">
        <f>'Carga de Datos'!F30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Datos'!G30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44805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7</v>
      </c>
      <c r="G4" s="26" t="s">
        <v>31</v>
      </c>
      <c r="H4" s="30">
        <f>'Carga de Datos'!E2</f>
        <v>48</v>
      </c>
      <c r="I4" s="26" t="s">
        <v>36</v>
      </c>
      <c r="J4" s="29" t="str">
        <f>'Carga de Datos'!B4</f>
        <v>H472466131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44805</v>
      </c>
      <c r="C5" s="28" t="s">
        <v>1</v>
      </c>
      <c r="D5" s="31">
        <f>'Carga de Datos'!G2</f>
        <v>0.40972222222222227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8331118810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99"/>
      <c r="B10" s="104" t="str">
        <f>'Carga de Datos'!F6</f>
        <v>Jeronimo Lobo Ponticelli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Datos'!G6</f>
        <v>Mitre 638 -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99"/>
      <c r="B13" s="104">
        <f>'Carga de Datos'!F7</f>
        <v>0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>
        <f>'Carga de Datos'!G7</f>
        <v>0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99"/>
      <c r="B16" s="104">
        <f>'Carga de Datos'!F8</f>
        <v>0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>
        <f>'Carga de Datos'!G8</f>
        <v>0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99"/>
      <c r="B19" s="104">
        <f>'Carga de Datos'!F9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Datos'!G9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99"/>
      <c r="B22" s="104">
        <f>'Carga de Datos'!F10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Datos'!G10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D18" sqref="D18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44805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70" t="s">
        <v>97</v>
      </c>
      <c r="C7" s="45"/>
      <c r="D7" s="125">
        <f>G59</f>
        <v>58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6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44806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>
        <v>4</v>
      </c>
      <c r="D19" s="66">
        <v>4</v>
      </c>
      <c r="E19" s="146"/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>
        <v>1</v>
      </c>
      <c r="D20" s="66">
        <v>5</v>
      </c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5" t="s">
        <v>109</v>
      </c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5"/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98</v>
      </c>
      <c r="J27" s="160"/>
    </row>
    <row r="28" spans="1:10" ht="15" customHeight="1" x14ac:dyDescent="0.25">
      <c r="A28" s="38"/>
      <c r="B28" s="73">
        <v>9768545625</v>
      </c>
      <c r="C28" s="153" t="s">
        <v>100</v>
      </c>
      <c r="D28" s="154"/>
      <c r="E28" s="74" t="s">
        <v>78</v>
      </c>
      <c r="F28" s="74" t="s">
        <v>53</v>
      </c>
      <c r="G28" s="74">
        <v>10</v>
      </c>
      <c r="H28" s="74">
        <v>3</v>
      </c>
      <c r="I28" s="92" t="s">
        <v>101</v>
      </c>
      <c r="J28" s="39"/>
    </row>
    <row r="29" spans="1:10" ht="15" customHeight="1" x14ac:dyDescent="0.25">
      <c r="A29" s="38"/>
      <c r="B29" s="76"/>
      <c r="C29" s="153"/>
      <c r="D29" s="154"/>
      <c r="E29" s="74"/>
      <c r="F29" s="74"/>
      <c r="G29" s="74"/>
      <c r="H29" s="74"/>
      <c r="I29" s="75"/>
      <c r="J29" s="39"/>
    </row>
    <row r="30" spans="1:10" ht="15" customHeight="1" x14ac:dyDescent="0.25">
      <c r="A30" s="38"/>
      <c r="B30" s="76"/>
      <c r="C30" s="153"/>
      <c r="D30" s="154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53"/>
      <c r="D31" s="154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3"/>
      <c r="D32" s="154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3"/>
      <c r="D33" s="154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3"/>
      <c r="D34" s="154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7" t="s">
        <v>75</v>
      </c>
      <c r="D35" s="168"/>
      <c r="E35" s="74"/>
      <c r="F35" s="74"/>
      <c r="G35" s="74"/>
      <c r="H35" s="74"/>
      <c r="I35" s="94" t="s">
        <v>99</v>
      </c>
      <c r="J35" s="39"/>
    </row>
    <row r="36" spans="1:10" ht="15" customHeight="1" x14ac:dyDescent="0.25">
      <c r="A36" s="38"/>
      <c r="B36" s="73">
        <v>9768545625</v>
      </c>
      <c r="C36" s="153" t="s">
        <v>100</v>
      </c>
      <c r="D36" s="154"/>
      <c r="E36" s="74" t="s">
        <v>78</v>
      </c>
      <c r="F36" s="74" t="s">
        <v>53</v>
      </c>
      <c r="G36" s="74">
        <v>40</v>
      </c>
      <c r="H36" s="74">
        <v>2</v>
      </c>
      <c r="I36" s="92" t="s">
        <v>101</v>
      </c>
      <c r="J36" s="39"/>
    </row>
    <row r="37" spans="1:10" ht="15" customHeight="1" x14ac:dyDescent="0.25">
      <c r="A37" s="38"/>
      <c r="B37" s="76">
        <v>4892050505</v>
      </c>
      <c r="C37" s="153" t="s">
        <v>105</v>
      </c>
      <c r="D37" s="154"/>
      <c r="E37" s="74" t="s">
        <v>106</v>
      </c>
      <c r="F37" s="74" t="s">
        <v>107</v>
      </c>
      <c r="G37" s="74">
        <v>1</v>
      </c>
      <c r="H37" s="74">
        <v>1</v>
      </c>
      <c r="I37" s="75" t="s">
        <v>108</v>
      </c>
      <c r="J37" s="90"/>
    </row>
    <row r="38" spans="1:10" ht="15" customHeight="1" x14ac:dyDescent="0.25">
      <c r="A38" s="38"/>
      <c r="B38" s="76">
        <v>4892050472</v>
      </c>
      <c r="C38" s="153" t="s">
        <v>105</v>
      </c>
      <c r="D38" s="154"/>
      <c r="E38" s="74" t="s">
        <v>106</v>
      </c>
      <c r="F38" s="74" t="s">
        <v>107</v>
      </c>
      <c r="G38" s="74">
        <v>1</v>
      </c>
      <c r="H38" s="74">
        <v>1</v>
      </c>
      <c r="I38" s="75" t="s">
        <v>108</v>
      </c>
      <c r="J38" s="39"/>
    </row>
    <row r="39" spans="1:10" ht="15" customHeight="1" x14ac:dyDescent="0.25">
      <c r="A39" s="38"/>
      <c r="B39" s="76">
        <v>7529333151</v>
      </c>
      <c r="C39" s="153" t="s">
        <v>105</v>
      </c>
      <c r="D39" s="154"/>
      <c r="E39" s="74" t="s">
        <v>106</v>
      </c>
      <c r="F39" s="74" t="s">
        <v>107</v>
      </c>
      <c r="G39" s="74">
        <v>5</v>
      </c>
      <c r="H39" s="74">
        <v>1</v>
      </c>
      <c r="I39" s="75" t="s">
        <v>108</v>
      </c>
      <c r="J39" s="39"/>
    </row>
    <row r="40" spans="1:10" ht="15" customHeight="1" x14ac:dyDescent="0.25">
      <c r="A40" s="38"/>
      <c r="B40" s="76">
        <v>6033300722</v>
      </c>
      <c r="C40" s="153" t="s">
        <v>102</v>
      </c>
      <c r="D40" s="154"/>
      <c r="E40" s="74" t="s">
        <v>83</v>
      </c>
      <c r="F40" s="74" t="s">
        <v>103</v>
      </c>
      <c r="G40" s="74">
        <v>1</v>
      </c>
      <c r="H40" s="74">
        <v>1</v>
      </c>
      <c r="I40" s="75" t="s">
        <v>104</v>
      </c>
      <c r="J40" s="39"/>
    </row>
    <row r="41" spans="1:10" ht="15" customHeight="1" x14ac:dyDescent="0.25">
      <c r="A41" s="38"/>
      <c r="B41" s="76"/>
      <c r="C41" s="153"/>
      <c r="D41" s="154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3"/>
      <c r="D42" s="154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3"/>
      <c r="D43" s="154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9"/>
      <c r="D58" s="169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58</v>
      </c>
      <c r="H59" s="89">
        <f>SUM(H28:H58)</f>
        <v>9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">
      <c r="A62" s="38"/>
      <c r="B62" s="73"/>
      <c r="C62" s="165"/>
      <c r="D62" s="166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1"/>
      <c r="D63" s="161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2022-09-01T17:17:55Z</cp:lastPrinted>
  <dcterms:created xsi:type="dcterms:W3CDTF">2016-08-11T13:59:12Z</dcterms:created>
  <dcterms:modified xsi:type="dcterms:W3CDTF">2022-09-01T17:19:53Z</dcterms:modified>
</cp:coreProperties>
</file>