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2BA91FB6-C2CD-48AC-A721-C2FC1BA4E9E1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<sst xmlns="http://schemas.openxmlformats.org/spreadsheetml/2006/main" count="191" uniqueCount="117">
  <si>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</si>
  <si>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</si>
  <si>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</si>
  <si>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</si>
  <si>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</si>
  <si>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</si>
  <si>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</si>
  <si>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</si>
  <si>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</si>
  <si>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</si>
  <si>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</si>
  <si>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</si>
  <si>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</si>
  <si>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</si>
  <si>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</si>
  <si>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</si>
  <si>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</si>
  <si>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</si>
  <si>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</si>
  <si>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</si>
  <si>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</si>
  <si>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</si>
  <si>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</si>
  <si>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</si>
  <si>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</si>
  <si>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</si>
  <si>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</si>
  <si>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</si>
  <si>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</si>
  <si>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</si>
  <si>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</si>
  <si>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</si>
  <si>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</si>
  <si>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</si>
  <si>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</si>
  <si>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</si>
  <si>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</si>
  <si>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</si>
  <si>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</si>
  <si>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</si>
  <si>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</si>
  <si>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</si>
  <si>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</si>
  <si>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</si>
  <si>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</si>
  <si>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</si>
  <si>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</si>
  <si>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</si>
  <si>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</si>
  <si>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</si>
  <si>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</si>
  <si>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</si>
  <si>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</si>
  <si>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</si>
  <si>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</si>
  <si>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</si>
  <si>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</si>
  <si>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</si>
  <si>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</si>
  <si>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</si>
  <si>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</si>
  <si>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</si>
  <si>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</si>
  <si>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</si>
  <si>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</si>
  <si>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</si>
  <si>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</si>
  <si>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</si>
  <si>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</si>
  <si>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</si>
  <si>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</si>
  <si>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</si>
  <si>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</si>
  <si>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</si>
  <si>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</si>
  <si>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</si>
  <si>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</si>
  <si>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</si>
  <si>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</si>
  <si>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DOM</t>
  </si>
  <si>
    <t>Daiana Alba Lopez</t>
  </si>
  <si>
    <t>Leopoldo Mareschal, Mz P Casa 434 B° AMEP - SL</t>
  </si>
  <si>
    <t>Matias Cuesta</t>
  </si>
  <si>
    <t>FLL</t>
  </si>
  <si>
    <t>Sanlufilm S.A.</t>
  </si>
  <si>
    <t>Calle 108 esq. 6 - SL</t>
  </si>
  <si>
    <t>MHN</t>
  </si>
  <si>
    <t>Venados Manufactura Plastica SA</t>
  </si>
  <si>
    <t>Europa 945 - SL</t>
  </si>
  <si>
    <t>DOX</t>
  </si>
  <si>
    <t>GOA</t>
  </si>
  <si>
    <t>Avery Dennison de Argentina SRL</t>
  </si>
  <si>
    <t>Calle 108 entre 2 y 4 - SL</t>
  </si>
  <si>
    <t>MTY</t>
  </si>
  <si>
    <t>Rheem S.A.</t>
  </si>
  <si>
    <t>Ex Ruta 7 Km 790 - SL</t>
  </si>
  <si>
    <t>MVD</t>
  </si>
  <si>
    <t>Daniel Alvarez</t>
  </si>
  <si>
    <t>Lavalle 470 - SL</t>
  </si>
  <si>
    <t>Gustavo Escudero (NCR SRL)</t>
  </si>
  <si>
    <t>Mitre 638 - SL</t>
  </si>
  <si>
    <t>B° Juan de Dios Garro Mz Q Casa 9 - SL</t>
  </si>
  <si>
    <t>H483295610</t>
  </si>
  <si>
    <t>H483295621</t>
  </si>
  <si>
    <t>1088796</t>
  </si>
  <si>
    <t>Pavón Servicio Técnico</t>
  </si>
  <si>
    <t>AR</t>
  </si>
  <si>
    <t>Mirta Susana Luna</t>
  </si>
  <si>
    <t>XED</t>
  </si>
  <si>
    <t>XML</t>
  </si>
  <si>
    <t>ES</t>
  </si>
  <si>
    <t>Centro Médico Cereca</t>
  </si>
  <si>
    <t>WMX</t>
  </si>
  <si>
    <t>SER</t>
  </si>
  <si>
    <t>US</t>
  </si>
  <si>
    <t>RENAL SRL</t>
  </si>
  <si>
    <t>2 Medical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</si>
</sst>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9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0" fillId="4" borderId="13" xfId="1" applyNumberFormat="1" applyFont="1" applyFill="1" applyBorder="1" applyAlignment="1" applyProtection="1">
      <alignment horizontal="center" vertical="distributed" shrinkToFit="1"/>
      <protection locked="0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30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9</v>
      </c>
      <c r="F1" s="22" t="s">
        <v>45</v>
      </c>
      <c r="G1" s="25">
        <v>44816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33</v>
      </c>
      <c r="F2" s="22" t="s">
        <v>38</v>
      </c>
      <c r="G2" s="24">
        <v>0.35416666666666669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44813</v>
      </c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1913698603</v>
      </c>
      <c r="C24" s="13" t="s">
        <v>79</v>
      </c>
      <c r="D24" s="13" t="s">
        <v>53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4</v>
      </c>
    </row>
    <row r="25" spans="1:9" ht="22.5" x14ac:dyDescent="0.3">
      <c r="A25" s="20">
        <f t="shared" si="1"/>
        <v>2</v>
      </c>
      <c r="B25" s="13">
        <v>1913726371</v>
      </c>
      <c r="C25" s="13" t="s">
        <v>79</v>
      </c>
      <c r="D25" s="13" t="s">
        <v>53</v>
      </c>
      <c r="E25" s="13" t="s">
        <v>52</v>
      </c>
      <c r="F25" s="13" t="s">
        <v>82</v>
      </c>
      <c r="G25" s="13" t="s">
        <v>101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6371217311</v>
      </c>
      <c r="C26" s="13" t="s">
        <v>78</v>
      </c>
      <c r="D26" s="13" t="s">
        <v>83</v>
      </c>
      <c r="E26" s="13" t="s">
        <v>52</v>
      </c>
      <c r="F26" s="13" t="s">
        <v>84</v>
      </c>
      <c r="G26" s="13" t="s">
        <v>85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6456514234</v>
      </c>
      <c r="C27" s="13" t="s">
        <v>78</v>
      </c>
      <c r="D27" s="13" t="s">
        <v>86</v>
      </c>
      <c r="E27" s="13" t="s">
        <v>52</v>
      </c>
      <c r="F27" s="13" t="s">
        <v>87</v>
      </c>
      <c r="G27" s="13" t="s">
        <v>88</v>
      </c>
      <c r="H27" s="13">
        <v>1</v>
      </c>
      <c r="I27" s="13">
        <v>14</v>
      </c>
    </row>
    <row r="28" spans="1:9" ht="22.5" x14ac:dyDescent="0.3">
      <c r="A28" s="20">
        <f t="shared" si="1"/>
        <v>5</v>
      </c>
      <c r="B28" s="13">
        <v>6878892926</v>
      </c>
      <c r="C28" s="13" t="s">
        <v>89</v>
      </c>
      <c r="D28" s="13" t="s">
        <v>90</v>
      </c>
      <c r="E28" s="13" t="s">
        <v>52</v>
      </c>
      <c r="F28" s="13" t="s">
        <v>91</v>
      </c>
      <c r="G28" s="13" t="s">
        <v>92</v>
      </c>
      <c r="H28" s="13">
        <v>1</v>
      </c>
      <c r="I28" s="13">
        <v>0.5</v>
      </c>
    </row>
    <row r="29" spans="1:9" ht="22.5" x14ac:dyDescent="0.3">
      <c r="A29" s="20">
        <f t="shared" si="1"/>
        <v>6</v>
      </c>
      <c r="B29" s="13">
        <v>7446076536</v>
      </c>
      <c r="C29" s="13" t="s">
        <v>78</v>
      </c>
      <c r="D29" s="13" t="s">
        <v>93</v>
      </c>
      <c r="E29" s="13" t="s">
        <v>52</v>
      </c>
      <c r="F29" s="13" t="s">
        <v>94</v>
      </c>
      <c r="G29" s="13" t="s">
        <v>95</v>
      </c>
      <c r="H29" s="13">
        <v>1</v>
      </c>
      <c r="I29" s="13">
        <v>3</v>
      </c>
    </row>
    <row r="30" spans="1:9" ht="22.5" x14ac:dyDescent="0.3">
      <c r="A30" s="20">
        <f t="shared" si="1"/>
        <v>7</v>
      </c>
      <c r="B30" s="13">
        <v>8984939364</v>
      </c>
      <c r="C30" s="13" t="s">
        <v>78</v>
      </c>
      <c r="D30" s="13" t="s">
        <v>86</v>
      </c>
      <c r="E30" s="13" t="s">
        <v>52</v>
      </c>
      <c r="F30" s="13" t="s">
        <v>87</v>
      </c>
      <c r="G30" s="13" t="s">
        <v>88</v>
      </c>
      <c r="H30" s="13">
        <v>1</v>
      </c>
      <c r="I30" s="13">
        <v>2</v>
      </c>
    </row>
    <row r="31" spans="1:9" ht="22.5" x14ac:dyDescent="0.3">
      <c r="A31" s="20">
        <f t="shared" si="1"/>
        <v>8</v>
      </c>
      <c r="B31" s="13">
        <v>9195633300</v>
      </c>
      <c r="C31" s="13" t="s">
        <v>89</v>
      </c>
      <c r="D31" s="13" t="s">
        <v>96</v>
      </c>
      <c r="E31" s="13" t="s">
        <v>52</v>
      </c>
      <c r="F31" s="13" t="s">
        <v>97</v>
      </c>
      <c r="G31" s="13" t="s">
        <v>98</v>
      </c>
      <c r="H31" s="13">
        <v>1</v>
      </c>
      <c r="I31" s="13">
        <v>0.5</v>
      </c>
    </row>
    <row r="32" spans="1:9" ht="22.5" x14ac:dyDescent="0.3">
      <c r="A32" s="20">
        <f t="shared" si="1"/>
        <v>9</v>
      </c>
      <c r="B32" s="13">
        <v>9562676734</v>
      </c>
      <c r="C32" s="13" t="s">
        <v>79</v>
      </c>
      <c r="D32" s="13" t="s">
        <v>53</v>
      </c>
      <c r="E32" s="13" t="s">
        <v>52</v>
      </c>
      <c r="F32" s="13" t="s">
        <v>99</v>
      </c>
      <c r="G32" s="13" t="s">
        <v>100</v>
      </c>
      <c r="H32" s="13">
        <v>1</v>
      </c>
      <c r="I32" s="13">
        <v>5</v>
      </c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9</v>
      </c>
      <c r="I41" s="13">
        <f>SUM(I24:I40)</f>
        <v>33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4" workbookViewId="0">
      <selection activeCell="B14" sqref="B14:E14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"/>
      <c r="L1" s="1"/>
      <c r="M1" s="1"/>
      <c r="N1" s="1"/>
    </row>
    <row r="2" spans="1:14" ht="45.75" customHeight="1" x14ac:dyDescent="0.25">
      <c r="A2" s="114">
        <f>'Carga de Datos'!G1</f>
        <v>44816</v>
      </c>
      <c r="B2" s="114"/>
      <c r="C2" s="114"/>
      <c r="D2" s="114"/>
      <c r="E2" s="114"/>
      <c r="F2" s="115" t="s">
        <v>73</v>
      </c>
      <c r="G2" s="115"/>
      <c r="H2" s="115"/>
      <c r="I2" s="115"/>
      <c r="J2" s="115"/>
      <c r="K2" s="2"/>
      <c r="L2" s="2"/>
      <c r="M2" s="2"/>
      <c r="N2" s="2"/>
    </row>
    <row r="3" spans="1:14" ht="15" customHeight="1" x14ac:dyDescent="0.25">
      <c r="A3" s="120"/>
      <c r="B3" s="119"/>
      <c r="C3" s="119"/>
      <c r="D3" s="119"/>
      <c r="E3" s="119"/>
      <c r="F3" s="119"/>
      <c r="G3" s="119"/>
      <c r="H3" s="119"/>
      <c r="I3" s="119"/>
      <c r="J3" s="119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33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44816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8" t="s">
        <v>6</v>
      </c>
      <c r="B7" s="119"/>
      <c r="C7" s="119"/>
      <c r="D7" s="119"/>
      <c r="E7" s="119"/>
      <c r="F7" s="119"/>
      <c r="G7" s="119"/>
      <c r="H7" s="119"/>
      <c r="I7" s="119"/>
      <c r="J7" s="11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1913698603</v>
      </c>
      <c r="C9" s="9"/>
      <c r="D9" s="9"/>
      <c r="E9" s="10">
        <f>'Carga de Datos'!H24</f>
        <v>1</v>
      </c>
      <c r="F9" s="21">
        <f>'Carga de Datos'!I24</f>
        <v>4</v>
      </c>
      <c r="G9" s="11" t="str">
        <f>'Carga de Datos'!C24</f>
        <v>DOM</v>
      </c>
      <c r="H9" s="4"/>
      <c r="I9" s="4"/>
      <c r="J9" s="9"/>
    </row>
    <row r="10" spans="1:14" x14ac:dyDescent="0.25">
      <c r="A10" s="100"/>
      <c r="B10" s="105" t="str">
        <f>'Carga de Datos'!F24</f>
        <v>Daiana Alba Lopez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11" t="str">
        <f>'Carga de Datos'!G24</f>
        <v>Leopoldo Mareschal, Mz P Casa 434 B° AMEP - SL</v>
      </c>
      <c r="C11" s="111"/>
      <c r="D11" s="111"/>
      <c r="E11" s="111"/>
      <c r="F11" s="101"/>
      <c r="G11" s="107"/>
      <c r="H11" s="109"/>
      <c r="I11" s="101"/>
      <c r="J11" s="101"/>
    </row>
    <row r="12" spans="1:14" ht="15.75" customHeight="1" x14ac:dyDescent="0.25">
      <c r="A12" s="8" t="s">
        <v>18</v>
      </c>
      <c r="B12" s="33">
        <f>'Carga de Datos'!B25</f>
        <v>1913726371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0"/>
      <c r="B13" s="105" t="str">
        <f>'Carga de Datos'!F25</f>
        <v>Matias Cuesta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 t="str">
        <f>'Carga de Datos'!G25</f>
        <v>B° Juan de Dios Garro Mz Q Casa 9 - SL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Datos'!B26</f>
        <v>6371217311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WPX</v>
      </c>
      <c r="H15" s="4"/>
      <c r="I15" s="4"/>
      <c r="J15" s="9"/>
    </row>
    <row r="16" spans="1:14" ht="15" customHeight="1" x14ac:dyDescent="0.25">
      <c r="A16" s="100"/>
      <c r="B16" s="105" t="str">
        <f>'Carga de Datos'!F26</f>
        <v>Sanlufilm S.A.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 t="str">
        <f>'Carga de Datos'!G26</f>
        <v>Calle 108 esq. 6 - SL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Datos'!B27</f>
        <v>6456514234</v>
      </c>
      <c r="C18" s="9"/>
      <c r="D18" s="9"/>
      <c r="E18" s="10">
        <f>'Carga de Datos'!H27</f>
        <v>1</v>
      </c>
      <c r="F18" s="21">
        <f>'Carga de Datos'!I27</f>
        <v>14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100"/>
      <c r="B19" s="105" t="str">
        <f>'Carga de Datos'!F27</f>
        <v>Venados Manufactura Plastica SA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 t="str">
        <f>'Carga de Datos'!G27</f>
        <v>Europa 945 - SL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Datos'!B28</f>
        <v>6878892926</v>
      </c>
      <c r="C21" s="9"/>
      <c r="D21" s="9"/>
      <c r="E21" s="10">
        <f>'Carga de Datos'!H28</f>
        <v>1</v>
      </c>
      <c r="F21" s="21">
        <f>'Carga de Datos'!I28</f>
        <v>0.5</v>
      </c>
      <c r="G21" s="11" t="str">
        <f>'Carga de Datos'!C28</f>
        <v>DOX</v>
      </c>
      <c r="H21" s="4"/>
      <c r="I21" s="4"/>
      <c r="J21" s="9"/>
    </row>
    <row r="22" spans="1:10" ht="15" customHeight="1" x14ac:dyDescent="0.25">
      <c r="A22" s="100"/>
      <c r="B22" s="105" t="str">
        <f>'Carga de Datos'!F28</f>
        <v>Avery Dennison de Argentina SRL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 t="str">
        <f>'Carga de Datos'!G28</f>
        <v>Calle 108 entre 2 y 4 - SL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Datos'!B29</f>
        <v>7446076536</v>
      </c>
      <c r="C24" s="9"/>
      <c r="D24" s="9"/>
      <c r="E24" s="10">
        <f>'Carga de Datos'!H29</f>
        <v>1</v>
      </c>
      <c r="F24" s="21">
        <f>'Carga de Datos'!I29</f>
        <v>3</v>
      </c>
      <c r="G24" s="11" t="str">
        <f>'Carga de Datos'!C29</f>
        <v>WPX</v>
      </c>
      <c r="H24" s="4"/>
      <c r="I24" s="4"/>
      <c r="J24" s="9"/>
    </row>
    <row r="25" spans="1:10" x14ac:dyDescent="0.25">
      <c r="A25" s="100"/>
      <c r="B25" s="105" t="str">
        <f>'Carga de Datos'!F29</f>
        <v>Rheem S.A.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 t="str">
        <f>'Carga de Datos'!G29</f>
        <v>Ex Ruta 7 Km 790 - SL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Datos'!B30</f>
        <v>8984939364</v>
      </c>
      <c r="C27" s="9"/>
      <c r="D27" s="9"/>
      <c r="E27" s="10">
        <f>'Carga de Datos'!H30</f>
        <v>1</v>
      </c>
      <c r="F27" s="21">
        <f>'Carga de Datos'!I30</f>
        <v>2</v>
      </c>
      <c r="G27" s="11" t="str">
        <f>'Carga de Datos'!C30</f>
        <v>WPX</v>
      </c>
      <c r="H27" s="4"/>
      <c r="I27" s="4"/>
      <c r="J27" s="9"/>
    </row>
    <row r="28" spans="1:10" x14ac:dyDescent="0.25">
      <c r="A28" s="100"/>
      <c r="B28" s="105" t="str">
        <f>'Carga de Datos'!F30</f>
        <v>Venados Manufactura Plastica SA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 t="str">
        <f>'Carga de Datos'!G30</f>
        <v>Europa 945 - SL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Datos'!B31</f>
        <v>9195633300</v>
      </c>
      <c r="C30" s="9"/>
      <c r="D30" s="9"/>
      <c r="E30" s="10">
        <f>'Carga de Datos'!H31</f>
        <v>1</v>
      </c>
      <c r="F30" s="21">
        <f>'Carga de Datos'!I31</f>
        <v>0.5</v>
      </c>
      <c r="G30" s="11" t="str">
        <f>'Carga de Datos'!C31</f>
        <v>DOX</v>
      </c>
      <c r="H30" s="4"/>
      <c r="I30" s="4"/>
      <c r="J30" s="9"/>
    </row>
    <row r="31" spans="1:10" x14ac:dyDescent="0.25">
      <c r="A31" s="112"/>
      <c r="B31" s="105" t="str">
        <f>'Carga de Datos'!F31</f>
        <v>Daniel Alvarez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3"/>
      <c r="B32" s="102" t="str">
        <f>'Carga de Datos'!G31</f>
        <v>Lavalle 470 - SL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Datos'!B32</f>
        <v>9562676734</v>
      </c>
      <c r="C33" s="9"/>
      <c r="D33" s="9"/>
      <c r="E33" s="10">
        <f>'Carga de Datos'!H32</f>
        <v>1</v>
      </c>
      <c r="F33" s="21">
        <f>'Carga de Datos'!I32</f>
        <v>5</v>
      </c>
      <c r="G33" s="11" t="str">
        <f>'Carga de Datos'!C32</f>
        <v>DOM</v>
      </c>
      <c r="H33" s="4"/>
      <c r="I33" s="4"/>
      <c r="J33" s="9"/>
    </row>
    <row r="34" spans="1:14" x14ac:dyDescent="0.25">
      <c r="A34" s="112"/>
      <c r="B34" s="105" t="str">
        <f>'Carga de Datos'!F32</f>
        <v>Gustavo Escudero (NCR SRL)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3"/>
      <c r="B35" s="102" t="str">
        <f>'Carga de Datos'!G32</f>
        <v>Mitre 638 - SL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2"/>
      <c r="B37" s="105">
        <f>'Carga de Datos'!F33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3"/>
      <c r="B38" s="102">
        <f>'Carga de Datos'!G33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3"/>
      <c r="B40" s="105">
        <f>'Carga de Datos'!F34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Datos'!G34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Datos'!F35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Datos'!G35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3"/>
      <c r="B46" s="105">
        <f>'Carga de Datos'!F36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Datos'!G36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3"/>
      <c r="B49" s="105">
        <f>'Carga de Datos'!F37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Datos'!G37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3"/>
      <c r="B52" s="105">
        <f>'Carga de Datos'!F38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Datos'!G38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3"/>
      <c r="B55" s="105">
        <f>'Carga de Datos'!F39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Datos'!G39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6" t="s">
        <v>43</v>
      </c>
      <c r="B1" s="117"/>
      <c r="C1" s="117"/>
      <c r="D1" s="117"/>
      <c r="E1" s="117"/>
      <c r="F1" s="117"/>
      <c r="G1" s="117"/>
      <c r="H1" s="117"/>
      <c r="I1" s="117"/>
      <c r="J1" s="117"/>
      <c r="K1" s="1"/>
      <c r="L1" s="1"/>
      <c r="M1" s="1"/>
      <c r="N1" s="1"/>
    </row>
    <row r="2" spans="1:14" ht="45.75" customHeight="1" x14ac:dyDescent="0.25">
      <c r="A2" s="114">
        <f>'Carga de Datos'!G1</f>
        <v>44816</v>
      </c>
      <c r="B2" s="114"/>
      <c r="C2" s="114"/>
      <c r="D2" s="114"/>
      <c r="E2" s="114"/>
      <c r="F2" s="115" t="s">
        <v>73</v>
      </c>
      <c r="G2" s="115"/>
      <c r="H2" s="115"/>
      <c r="I2" s="115"/>
      <c r="J2" s="115"/>
      <c r="K2" s="2"/>
      <c r="L2" s="2"/>
      <c r="M2" s="2"/>
      <c r="N2" s="2"/>
    </row>
    <row r="3" spans="1:14" ht="15" customHeight="1" x14ac:dyDescent="0.25">
      <c r="A3" s="120"/>
      <c r="B3" s="119"/>
      <c r="C3" s="119"/>
      <c r="D3" s="119"/>
      <c r="E3" s="119"/>
      <c r="F3" s="119"/>
      <c r="G3" s="119"/>
      <c r="H3" s="119"/>
      <c r="I3" s="119"/>
      <c r="J3" s="119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33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44816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8" t="s">
        <v>6</v>
      </c>
      <c r="B7" s="119"/>
      <c r="C7" s="119"/>
      <c r="D7" s="119"/>
      <c r="E7" s="119"/>
      <c r="F7" s="119"/>
      <c r="G7" s="119"/>
      <c r="H7" s="119"/>
      <c r="I7" s="119"/>
      <c r="J7" s="119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100"/>
      <c r="B10" s="105">
        <f>'Carga de Datos'!F6</f>
        <v>0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02">
        <f>'Carga de Datos'!G6</f>
        <v>0</v>
      </c>
      <c r="C11" s="102"/>
      <c r="D11" s="102"/>
      <c r="E11" s="102"/>
      <c r="F11" s="101"/>
      <c r="G11" s="107"/>
      <c r="H11" s="109"/>
      <c r="I11" s="101"/>
      <c r="J11" s="101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0"/>
      <c r="B13" s="105">
        <f>'Carga de Datos'!F7</f>
        <v>0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>
        <f>'Carga de Datos'!G7</f>
        <v>0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0"/>
      <c r="B16" s="105">
        <f>'Carga de Datos'!F8</f>
        <v>0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>
        <f>'Carga de Datos'!G8</f>
        <v>0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0"/>
      <c r="B19" s="105">
        <f>'Carga de Datos'!F9</f>
        <v>0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>
        <f>'Carga de Datos'!G9</f>
        <v>0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0"/>
      <c r="B22" s="105">
        <f>'Carga de Datos'!F10</f>
        <v>0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>
        <f>'Carga de Datos'!G10</f>
        <v>0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0"/>
      <c r="B25" s="105">
        <f>'Carga de Datos'!F11</f>
        <v>0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>
        <f>'Carga de Datos'!G11</f>
        <v>0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0"/>
      <c r="B28" s="105">
        <f>'Carga de Datos'!F12</f>
        <v>0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>
        <f>'Carga de Datos'!G12</f>
        <v>0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2"/>
      <c r="B31" s="105">
        <f>'Carga de Datos'!F13</f>
        <v>0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3"/>
      <c r="B32" s="102">
        <f>'Carga de Datos'!G13</f>
        <v>0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2"/>
      <c r="B34" s="105">
        <f>'Carga de Datos'!F14</f>
        <v>0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3"/>
      <c r="B35" s="102">
        <f>'Carga de Datos'!G14</f>
        <v>0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2"/>
      <c r="B37" s="105">
        <f>'Carga de Datos'!F15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3"/>
      <c r="B38" s="102">
        <f>'Carga de Datos'!G15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3"/>
      <c r="B40" s="105">
        <f>'Carga de Datos'!F16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Datos'!G16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Datos'!F17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Datos'!G17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3"/>
      <c r="B46" s="105">
        <f>'Carga de Datos'!F18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Datos'!G18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3"/>
      <c r="B49" s="105">
        <f>'Carga de Datos'!F19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Datos'!G19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3"/>
      <c r="B52" s="105">
        <f>'Carga de Datos'!F20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Datos'!G20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3"/>
      <c r="B55" s="105">
        <f>'Carga de Datos'!F21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Datos'!G21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K11" sqref="K11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21" t="s">
        <v>48</v>
      </c>
      <c r="D2" s="121"/>
      <c r="E2" s="121"/>
      <c r="F2" s="121"/>
      <c r="G2" s="121"/>
      <c r="H2" s="121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2"/>
      <c r="H4" s="123"/>
      <c r="I4" s="99">
        <f>'Carga de Datos'!G1</f>
        <v>44816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4" t="s">
        <v>49</v>
      </c>
      <c r="E6" s="125"/>
      <c r="F6" s="41"/>
      <c r="G6" s="41"/>
      <c r="H6" s="126" t="s">
        <v>76</v>
      </c>
      <c r="I6" s="125"/>
      <c r="J6" s="39"/>
    </row>
    <row r="7" spans="1:17" s="48" customFormat="1" ht="27" customHeight="1" thickBot="1" x14ac:dyDescent="0.3">
      <c r="A7" s="44"/>
      <c r="B7" s="98" t="s">
        <v>104</v>
      </c>
      <c r="C7" s="45"/>
      <c r="D7" s="127">
        <f>G59</f>
        <v>14.5</v>
      </c>
      <c r="E7" s="128"/>
      <c r="F7" s="46"/>
      <c r="G7" s="45"/>
      <c r="H7" s="127">
        <v>1</v>
      </c>
      <c r="I7" s="128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4" t="s">
        <v>75</v>
      </c>
      <c r="I8" s="125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7">
        <v>3</v>
      </c>
      <c r="I9" s="129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30" t="s">
        <v>51</v>
      </c>
      <c r="F10" s="131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2" t="s">
        <v>53</v>
      </c>
      <c r="F11" s="133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4"/>
      <c r="E13" s="135"/>
      <c r="F13" s="136"/>
      <c r="G13" s="41"/>
      <c r="H13" s="137"/>
      <c r="I13" s="136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8">
        <f>I4+1</f>
        <v>44817</v>
      </c>
      <c r="E14" s="139"/>
      <c r="F14" s="140"/>
      <c r="G14" s="45"/>
      <c r="H14" s="141"/>
      <c r="I14" s="142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3"/>
      <c r="C16" s="144"/>
      <c r="D16" s="144"/>
      <c r="E16" s="144"/>
      <c r="F16" s="144"/>
      <c r="G16" s="144"/>
      <c r="H16" s="144"/>
      <c r="I16" s="145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6" t="s">
        <v>56</v>
      </c>
      <c r="F17" s="146"/>
      <c r="G17" s="146"/>
      <c r="H17" s="146"/>
      <c r="I17" s="147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8"/>
      <c r="F18" s="148"/>
      <c r="G18" s="148"/>
      <c r="H18" s="149"/>
      <c r="I18" s="150"/>
      <c r="J18" s="39"/>
    </row>
    <row r="19" spans="1:10" ht="24.75" customHeight="1" thickBot="1" x14ac:dyDescent="0.3">
      <c r="A19" s="38"/>
      <c r="B19" s="64" t="s">
        <v>58</v>
      </c>
      <c r="C19" s="65">
        <v>2</v>
      </c>
      <c r="D19" s="66">
        <v>2</v>
      </c>
      <c r="E19" s="148" t="s">
        <v>116</v>
      </c>
      <c r="F19" s="148"/>
      <c r="G19" s="148"/>
      <c r="H19" s="149"/>
      <c r="I19" s="150"/>
      <c r="J19" s="39"/>
    </row>
    <row r="20" spans="1:10" ht="24.75" customHeight="1" thickBot="1" x14ac:dyDescent="0.3">
      <c r="A20" s="38"/>
      <c r="B20" s="64" t="s">
        <v>59</v>
      </c>
      <c r="C20" s="65">
        <v>1</v>
      </c>
      <c r="D20" s="66">
        <v>1</v>
      </c>
      <c r="E20" s="151"/>
      <c r="F20" s="152"/>
      <c r="G20" s="152"/>
      <c r="H20" s="153"/>
      <c r="I20" s="15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8"/>
      <c r="F21" s="148"/>
      <c r="G21" s="148"/>
      <c r="H21" s="149"/>
      <c r="I21" s="150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8"/>
      <c r="F22" s="148"/>
      <c r="G22" s="148"/>
      <c r="H22" s="149"/>
      <c r="I22" s="150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57"/>
      <c r="F23" s="158"/>
      <c r="G23" s="158"/>
      <c r="H23" s="158"/>
      <c r="I23" s="159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7"/>
      <c r="F24" s="158"/>
      <c r="G24" s="158"/>
      <c r="H24" s="158"/>
      <c r="I24" s="159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60" t="s">
        <v>65</v>
      </c>
      <c r="D26" s="160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61" t="s">
        <v>102</v>
      </c>
      <c r="J27" s="162"/>
    </row>
    <row r="28" spans="1:10" ht="15" customHeight="1" x14ac:dyDescent="0.25">
      <c r="A28" s="38"/>
      <c r="B28" s="73">
        <v>3805558875</v>
      </c>
      <c r="C28" s="155" t="s">
        <v>107</v>
      </c>
      <c r="D28" s="156"/>
      <c r="E28" s="74" t="s">
        <v>108</v>
      </c>
      <c r="F28" s="74" t="s">
        <v>109</v>
      </c>
      <c r="G28" s="74">
        <v>0.5</v>
      </c>
      <c r="H28" s="74">
        <v>1</v>
      </c>
      <c r="I28" s="92" t="s">
        <v>110</v>
      </c>
      <c r="J28" s="39"/>
    </row>
    <row r="29" spans="1:10" ht="15" customHeight="1" x14ac:dyDescent="0.25">
      <c r="A29" s="38"/>
      <c r="B29" s="76"/>
      <c r="C29" s="155"/>
      <c r="D29" s="156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55"/>
      <c r="D30" s="156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5"/>
      <c r="D31" s="156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5"/>
      <c r="D32" s="156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5"/>
      <c r="D33" s="156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5"/>
      <c r="D34" s="156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9" t="s">
        <v>75</v>
      </c>
      <c r="D35" s="170"/>
      <c r="E35" s="74"/>
      <c r="F35" s="74"/>
      <c r="G35" s="74"/>
      <c r="H35" s="74"/>
      <c r="I35" s="94" t="s">
        <v>103</v>
      </c>
      <c r="J35" s="39"/>
    </row>
    <row r="36" spans="1:10" ht="15" customHeight="1" x14ac:dyDescent="0.25">
      <c r="A36" s="38"/>
      <c r="B36" s="76">
        <v>7786381772</v>
      </c>
      <c r="C36" s="155" t="s">
        <v>105</v>
      </c>
      <c r="D36" s="156"/>
      <c r="E36" s="74" t="s">
        <v>79</v>
      </c>
      <c r="F36" s="74" t="s">
        <v>53</v>
      </c>
      <c r="G36" s="74">
        <v>12</v>
      </c>
      <c r="H36" s="74">
        <v>1</v>
      </c>
      <c r="I36" s="75" t="s">
        <v>106</v>
      </c>
      <c r="J36" s="39"/>
    </row>
    <row r="37" spans="1:10" ht="15" customHeight="1" x14ac:dyDescent="0.25">
      <c r="A37" s="38"/>
      <c r="B37" s="76">
        <v>1198011872</v>
      </c>
      <c r="C37" s="155" t="s">
        <v>111</v>
      </c>
      <c r="D37" s="156"/>
      <c r="E37" s="74" t="s">
        <v>112</v>
      </c>
      <c r="F37" s="74" t="s">
        <v>113</v>
      </c>
      <c r="G37" s="74">
        <v>1</v>
      </c>
      <c r="H37" s="74">
        <v>1</v>
      </c>
      <c r="I37" s="75" t="s">
        <v>114</v>
      </c>
      <c r="J37" s="90"/>
    </row>
    <row r="38" spans="1:10" ht="15" customHeight="1" x14ac:dyDescent="0.25">
      <c r="A38" s="38"/>
      <c r="B38" s="76">
        <v>1059502463</v>
      </c>
      <c r="C38" s="155" t="s">
        <v>115</v>
      </c>
      <c r="D38" s="156"/>
      <c r="E38" s="74" t="s">
        <v>112</v>
      </c>
      <c r="F38" s="74" t="s">
        <v>113</v>
      </c>
      <c r="G38" s="74">
        <v>1</v>
      </c>
      <c r="H38" s="74">
        <v>1</v>
      </c>
      <c r="I38" s="75" t="s">
        <v>114</v>
      </c>
      <c r="J38" s="39"/>
    </row>
    <row r="39" spans="1:10" ht="15" customHeight="1" x14ac:dyDescent="0.25">
      <c r="A39" s="38"/>
      <c r="B39" s="76"/>
      <c r="C39" s="155"/>
      <c r="D39" s="156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5"/>
      <c r="D40" s="156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5"/>
      <c r="D41" s="156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5"/>
      <c r="D42" s="156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5"/>
      <c r="D43" s="156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5"/>
      <c r="D44" s="156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5"/>
      <c r="D45" s="156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5"/>
      <c r="D46" s="156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5"/>
      <c r="D47" s="156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5"/>
      <c r="D48" s="156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5"/>
      <c r="D49" s="156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5"/>
      <c r="D50" s="156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5"/>
      <c r="D51" s="156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5"/>
      <c r="D52" s="156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5"/>
      <c r="D53" s="156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5"/>
      <c r="D54" s="156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5"/>
      <c r="D55" s="156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5"/>
      <c r="D56" s="156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5"/>
      <c r="D57" s="156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71"/>
      <c r="D58" s="171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3" t="s">
        <v>70</v>
      </c>
      <c r="D59" s="163"/>
      <c r="E59" s="89"/>
      <c r="F59" s="89"/>
      <c r="G59" s="89">
        <f>SUM(G28:G58)</f>
        <v>14.5</v>
      </c>
      <c r="H59" s="89">
        <f>SUM(H28:H58)</f>
        <v>4</v>
      </c>
      <c r="I59" s="87"/>
      <c r="J59" s="39"/>
    </row>
    <row r="60" spans="1:10" ht="15" customHeight="1" x14ac:dyDescent="0.2">
      <c r="A60" s="38"/>
      <c r="B60" s="73"/>
      <c r="C60" s="163"/>
      <c r="D60" s="163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4" t="s">
        <v>71</v>
      </c>
      <c r="C61" s="165"/>
      <c r="D61" s="165"/>
      <c r="E61" s="165"/>
      <c r="F61" s="165"/>
      <c r="G61" s="165"/>
      <c r="H61" s="165"/>
      <c r="I61" s="166"/>
      <c r="J61" s="39"/>
    </row>
    <row r="62" spans="1:10" ht="15" customHeight="1" x14ac:dyDescent="0.2">
      <c r="A62" s="38"/>
      <c r="B62" s="73"/>
      <c r="C62" s="167"/>
      <c r="D62" s="168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3"/>
      <c r="D63" s="163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3"/>
      <c r="D64" s="163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3"/>
      <c r="D65" s="163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3"/>
      <c r="D66" s="163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3"/>
      <c r="D67" s="163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3"/>
      <c r="D68" s="163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3"/>
      <c r="D69" s="163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2022-09-12T17:40:58Z</cp:lastPrinted>
  <dcterms:created xsi:type="dcterms:W3CDTF">2016-08-11T13:59:12Z</dcterms:created>
  <dcterms:modified xsi:type="dcterms:W3CDTF">2022-09-12T17:42:52Z</dcterms:modified>
</cp:coreProperties>
</file>