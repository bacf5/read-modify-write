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430F1C00-EE28-494D-BCE8-54F11861B197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<sst xmlns="http://schemas.openxmlformats.org/spreadsheetml/2006/main" count="163" uniqueCount="100">
  <si>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</si>
  <si>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</si>
  <si>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</si>
  <si>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</si>
  <si>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</si>
  <si>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</si>
  <si>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</si>
  <si>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</si>
  <si>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</si>
  <si>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</si>
  <si>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</si>
  <si>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</si>
  <si>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</si>
  <si>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</si>
  <si>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</si>
  <si>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</si>
  <si>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</si>
  <si>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</si>
  <si>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</si>
  <si>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</si>
  <si>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</si>
  <si>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</si>
  <si>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</si>
  <si>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</si>
  <si>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</si>
  <si>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</si>
  <si>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</si>
  <si>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</si>
  <si>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</si>
  <si>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</si>
  <si>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</si>
  <si>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</si>
  <si>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</si>
  <si>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</si>
  <si>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</si>
  <si>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</si>
  <si>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</si>
  <si>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</si>
  <si>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</si>
  <si>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</si>
  <si>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</si>
  <si>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</si>
  <si>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</si>
  <si>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</si>
  <si>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</si>
  <si>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</si>
  <si>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</si>
  <si>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</si>
  <si>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</si>
  <si>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</si>
  <si>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</si>
  <si>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</si>
  <si>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</si>
  <si>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</si>
  <si>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</si>
  <si>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</si>
  <si>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</si>
  <si>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</si>
  <si>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</si>
  <si>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</si>
  <si>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</si>
  <si>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</si>
  <si>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</si>
  <si>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</si>
  <si>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</si>
  <si>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</si>
  <si>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</si>
  <si>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</si>
  <si>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</si>
  <si>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</si>
  <si>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</si>
  <si>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</si>
  <si>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</si>
  <si>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</si>
  <si>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</si>
  <si>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</si>
  <si>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</si>
  <si>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</si>
  <si>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</si>
  <si>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Dr. Eduardo Ramos</t>
  </si>
  <si>
    <t>Bolivar 1277 - SL</t>
  </si>
  <si>
    <t>WPX</t>
  </si>
  <si>
    <t>MHN</t>
  </si>
  <si>
    <t>Venados Manufactura Plastica SA</t>
  </si>
  <si>
    <t>Europa 945 - SL</t>
  </si>
  <si>
    <t>DOX</t>
  </si>
  <si>
    <t>MIL</t>
  </si>
  <si>
    <t>Neri Damián Benavides</t>
  </si>
  <si>
    <t>Lic. 7 Mz 26 Casa 3 - LA PUNTA</t>
  </si>
  <si>
    <t>1088793</t>
  </si>
  <si>
    <t>H483295724</t>
  </si>
  <si>
    <t>Eximport SRL</t>
  </si>
  <si>
    <t>VER</t>
  </si>
  <si>
    <t>MX</t>
  </si>
  <si>
    <t>Club de Leones</t>
  </si>
  <si>
    <t>AR</t>
  </si>
  <si>
    <t>Juan Manuel Laborda</t>
  </si>
  <si>
    <t>Ruben Alberto Gimenez</t>
  </si>
  <si>
    <t>Devoluciones a UNDEL</t>
  </si>
  <si>
    <t>Travel Rock San 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</si>
</sst>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G9" sqref="G9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3</v>
      </c>
      <c r="F1" s="22" t="s">
        <v>45</v>
      </c>
      <c r="G1" s="25">
        <v>44824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12.5</v>
      </c>
      <c r="F2" s="22" t="s">
        <v>38</v>
      </c>
      <c r="G2" s="24">
        <v>0.3888888888888889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44823</v>
      </c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2195951741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2799886692</v>
      </c>
      <c r="C25" s="13" t="s">
        <v>81</v>
      </c>
      <c r="D25" s="13" t="s">
        <v>82</v>
      </c>
      <c r="E25" s="13" t="s">
        <v>52</v>
      </c>
      <c r="F25" s="13" t="s">
        <v>83</v>
      </c>
      <c r="G25" s="13" t="s">
        <v>84</v>
      </c>
      <c r="H25" s="13">
        <v>1</v>
      </c>
      <c r="I25" s="13">
        <v>10</v>
      </c>
    </row>
    <row r="26" spans="1:9" s="18" customFormat="1" ht="22.5" x14ac:dyDescent="0.3">
      <c r="A26" s="20">
        <f t="shared" si="1"/>
        <v>3</v>
      </c>
      <c r="B26" s="13">
        <v>5595253716</v>
      </c>
      <c r="C26" s="13" t="s">
        <v>85</v>
      </c>
      <c r="D26" s="13" t="s">
        <v>86</v>
      </c>
      <c r="E26" s="13" t="s">
        <v>52</v>
      </c>
      <c r="F26" s="13" t="s">
        <v>87</v>
      </c>
      <c r="G26" s="13" t="s">
        <v>88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/>
      <c r="C27" s="13"/>
      <c r="D27" s="13"/>
      <c r="E27" s="13"/>
      <c r="F27" s="13"/>
      <c r="G27" s="13"/>
      <c r="H27" s="13"/>
      <c r="I27" s="13"/>
    </row>
    <row r="28" spans="1:9" ht="22.5" x14ac:dyDescent="0.3">
      <c r="A28" s="20">
        <f t="shared" si="1"/>
        <v>5</v>
      </c>
      <c r="B28" s="13"/>
      <c r="C28" s="13"/>
      <c r="D28" s="13"/>
      <c r="E28" s="13"/>
      <c r="F28" s="13"/>
      <c r="G28" s="13"/>
      <c r="H28" s="13"/>
      <c r="I28" s="13"/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3</v>
      </c>
      <c r="I41" s="13">
        <f>SUM(I24:I40)</f>
        <v>12.5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44824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3</v>
      </c>
      <c r="G4" s="26" t="s">
        <v>31</v>
      </c>
      <c r="H4" s="30">
        <f>'Carga de Datos'!E2</f>
        <v>12.5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44824</v>
      </c>
      <c r="C5" s="28" t="s">
        <v>1</v>
      </c>
      <c r="D5" s="31">
        <f>'Carga de Datos'!G2</f>
        <v>0.3888888888888889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2195951741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Dr. Eduardo Ramos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Bolivar 1277 -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2799886692</v>
      </c>
      <c r="C12" s="9"/>
      <c r="D12" s="9"/>
      <c r="E12" s="10">
        <f>'Carga de Datos'!H25</f>
        <v>1</v>
      </c>
      <c r="F12" s="21">
        <f>'Carga de Datos'!I25</f>
        <v>10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Venados Manufactura Plastica SA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Europa 945 -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5595253716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DOX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Neri Damián Benavides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Lic. 7 Mz 26 Casa 3 - LA PUNTA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0</v>
      </c>
      <c r="C18" s="9"/>
      <c r="D18" s="9"/>
      <c r="E18" s="10">
        <f>'Carga de Datos'!H27</f>
        <v>0</v>
      </c>
      <c r="F18" s="21">
        <f>'Carga de Datos'!I27</f>
        <v>0</v>
      </c>
      <c r="G18" s="11">
        <f>'Carga de Datos'!C27</f>
        <v>0</v>
      </c>
      <c r="H18" s="4"/>
      <c r="I18" s="4"/>
      <c r="J18" s="9"/>
    </row>
    <row r="19" spans="1:10" ht="15" customHeight="1" x14ac:dyDescent="0.25">
      <c r="A19" s="99"/>
      <c r="B19" s="104">
        <f>'Carga de Datos'!F27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Datos'!G27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0</v>
      </c>
      <c r="C21" s="9"/>
      <c r="D21" s="9"/>
      <c r="E21" s="10">
        <f>'Carga de Datos'!H28</f>
        <v>0</v>
      </c>
      <c r="F21" s="21">
        <f>'Carga de Datos'!I28</f>
        <v>0</v>
      </c>
      <c r="G21" s="11">
        <f>'Carga de Datos'!C28</f>
        <v>0</v>
      </c>
      <c r="H21" s="4"/>
      <c r="I21" s="4"/>
      <c r="J21" s="9"/>
    </row>
    <row r="22" spans="1:10" ht="15" customHeight="1" x14ac:dyDescent="0.25">
      <c r="A22" s="99"/>
      <c r="B22" s="104">
        <f>'Carga de Datos'!F28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Datos'!G28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44824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3</v>
      </c>
      <c r="G4" s="26" t="s">
        <v>31</v>
      </c>
      <c r="H4" s="30">
        <f>'Carga de Datos'!E2</f>
        <v>12.5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44824</v>
      </c>
      <c r="C5" s="28" t="s">
        <v>1</v>
      </c>
      <c r="D5" s="31">
        <f>'Carga de Datos'!G2</f>
        <v>0.3888888888888889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99"/>
      <c r="B10" s="104">
        <f>'Carga de Datos'!F6</f>
        <v>0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>
        <f>'Carga de Datos'!G6</f>
        <v>0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8" zoomScale="68" zoomScaleNormal="68" zoomScaleSheetLayoutView="85" workbookViewId="0">
      <selection activeCell="B31" sqref="B31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44824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89</v>
      </c>
      <c r="C7" s="45"/>
      <c r="D7" s="125">
        <f>G59</f>
        <v>1.5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0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44825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/>
      <c r="D19" s="66"/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2</v>
      </c>
      <c r="D20" s="66">
        <v>2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55"/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>
        <v>2</v>
      </c>
      <c r="D24" s="66">
        <v>2</v>
      </c>
      <c r="E24" s="155" t="s">
        <v>98</v>
      </c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90</v>
      </c>
      <c r="J27" s="160"/>
    </row>
    <row r="28" spans="1:10" ht="15" customHeight="1" x14ac:dyDescent="0.25">
      <c r="A28" s="38"/>
      <c r="B28" s="73">
        <v>7392225875</v>
      </c>
      <c r="C28" s="153" t="s">
        <v>91</v>
      </c>
      <c r="D28" s="154"/>
      <c r="E28" s="74" t="s">
        <v>85</v>
      </c>
      <c r="F28" s="74" t="s">
        <v>92</v>
      </c>
      <c r="G28" s="74">
        <v>0.5</v>
      </c>
      <c r="H28" s="74">
        <v>1</v>
      </c>
      <c r="I28" s="92" t="s">
        <v>93</v>
      </c>
      <c r="J28" s="39"/>
    </row>
    <row r="29" spans="1:10" ht="15" customHeight="1" x14ac:dyDescent="0.25">
      <c r="A29" s="38"/>
      <c r="B29" s="76">
        <v>7498203856</v>
      </c>
      <c r="C29" s="153" t="s">
        <v>94</v>
      </c>
      <c r="D29" s="154"/>
      <c r="E29" s="74" t="s">
        <v>78</v>
      </c>
      <c r="F29" s="74" t="s">
        <v>53</v>
      </c>
      <c r="G29" s="74">
        <v>0.5</v>
      </c>
      <c r="H29" s="74">
        <v>1</v>
      </c>
      <c r="I29" s="75" t="s">
        <v>95</v>
      </c>
      <c r="J29" s="39"/>
    </row>
    <row r="30" spans="1:10" ht="15" customHeight="1" x14ac:dyDescent="0.25">
      <c r="A30" s="38"/>
      <c r="B30" s="76">
        <v>4349129551</v>
      </c>
      <c r="C30" s="153" t="s">
        <v>99</v>
      </c>
      <c r="D30" s="154"/>
      <c r="E30" s="74" t="s">
        <v>78</v>
      </c>
      <c r="F30" s="74" t="s">
        <v>53</v>
      </c>
      <c r="G30" s="74">
        <v>0.5</v>
      </c>
      <c r="H30" s="74">
        <v>1</v>
      </c>
      <c r="I30" s="75" t="s">
        <v>95</v>
      </c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/>
      <c r="D35" s="168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53"/>
      <c r="D36" s="154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53"/>
      <c r="D37" s="154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1.5</v>
      </c>
      <c r="H59" s="89">
        <f>SUM(H28:H58)</f>
        <v>3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>
        <v>4213418215</v>
      </c>
      <c r="C62" s="165" t="s">
        <v>96</v>
      </c>
      <c r="D62" s="166"/>
      <c r="E62" s="74" t="s">
        <v>78</v>
      </c>
      <c r="F62" s="74" t="s">
        <v>53</v>
      </c>
      <c r="G62" s="74">
        <v>0.5</v>
      </c>
      <c r="H62" s="74">
        <v>1</v>
      </c>
      <c r="I62" s="83" t="s">
        <v>95</v>
      </c>
      <c r="J62" s="39"/>
    </row>
    <row r="63" spans="1:10" ht="15" customHeight="1" x14ac:dyDescent="0.2">
      <c r="A63" s="38"/>
      <c r="B63" s="73">
        <v>3818779565</v>
      </c>
      <c r="C63" s="161" t="s">
        <v>97</v>
      </c>
      <c r="D63" s="161"/>
      <c r="E63" s="89" t="s">
        <v>85</v>
      </c>
      <c r="F63" s="89" t="s">
        <v>53</v>
      </c>
      <c r="G63" s="78">
        <v>0.5</v>
      </c>
      <c r="H63" s="79">
        <v>1</v>
      </c>
      <c r="I63" s="73" t="s">
        <v>95</v>
      </c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2022-09-20T18:11:01Z</cp:lastPrinted>
  <dcterms:created xsi:type="dcterms:W3CDTF">2016-08-11T13:59:12Z</dcterms:created>
  <dcterms:modified xsi:type="dcterms:W3CDTF">2022-09-20T18:13:32Z</dcterms:modified>
</cp:coreProperties>
</file>