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46BF657A-ADFE-443A-BAC0-693AEE6E8ACF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<sst xmlns="http://schemas.openxmlformats.org/spreadsheetml/2006/main" count="207" uniqueCount="118">
  <si>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</si>
  <si>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</si>
  <si>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</si>
  <si>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</si>
  <si>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</si>
  <si>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</si>
  <si>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</si>
  <si>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</si>
  <si>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</si>
  <si>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</si>
  <si>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</si>
  <si>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</si>
  <si>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</si>
  <si>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</si>
  <si>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</si>
  <si>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</si>
  <si>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</si>
  <si>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</si>
  <si>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</si>
  <si>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</si>
  <si>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</si>
  <si>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</si>
  <si>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</si>
  <si>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</si>
  <si>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</si>
  <si>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</si>
  <si>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</si>
  <si>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</si>
  <si>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</si>
  <si>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</si>
  <si>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</si>
  <si>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</si>
  <si>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</si>
  <si>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</si>
  <si>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</si>
  <si>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</si>
  <si>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</si>
  <si>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</si>
  <si>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</si>
  <si>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</si>
  <si>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</si>
  <si>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</si>
  <si>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</si>
  <si>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</si>
  <si>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</si>
  <si>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</si>
  <si>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</si>
  <si>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</si>
  <si>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</si>
  <si>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</si>
  <si>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</si>
  <si>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</si>
  <si>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</si>
  <si>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</si>
  <si>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</si>
  <si>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</si>
  <si>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</si>
  <si>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</si>
  <si>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</si>
  <si>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</si>
  <si>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</si>
  <si>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</si>
  <si>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</si>
  <si>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</si>
  <si>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</si>
  <si>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</si>
  <si>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</si>
  <si>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</si>
  <si>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</si>
  <si>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</si>
  <si>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</si>
  <si>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</si>
  <si>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</si>
  <si>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</si>
  <si>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</si>
  <si>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</si>
  <si>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</si>
  <si>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</si>
  <si>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</si>
  <si>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Dra. Romina Gondolo</t>
  </si>
  <si>
    <t>Av. España 712 - SL</t>
  </si>
  <si>
    <t>Daniel Román Larregola</t>
  </si>
  <si>
    <t>Araucanos 1300 - JUANA KOSLAY</t>
  </si>
  <si>
    <t>Horacio M. Caruso</t>
  </si>
  <si>
    <t>Mitre 638 - SL</t>
  </si>
  <si>
    <t>DOX</t>
  </si>
  <si>
    <t>MVD</t>
  </si>
  <si>
    <t>Daniel Alvarez</t>
  </si>
  <si>
    <t>Lavalle 470 - SL</t>
  </si>
  <si>
    <t>Casi Agropecuaria S.A.</t>
  </si>
  <si>
    <t>CG Comex S.A.</t>
  </si>
  <si>
    <t>Av. Illia 340 PB B - SL</t>
  </si>
  <si>
    <t>Gustavo Escudero (NCR SRL)</t>
  </si>
  <si>
    <t>H472467726</t>
  </si>
  <si>
    <t>PAS</t>
  </si>
  <si>
    <t>Sergio Daniel Pina</t>
  </si>
  <si>
    <t>Analia Exeni - COUNTER SL</t>
  </si>
  <si>
    <t>Carola Ledesma</t>
  </si>
  <si>
    <t>Maria Fernanda Tamagnini - COUNTER SL</t>
  </si>
  <si>
    <t>Catalina Sara Maza</t>
  </si>
  <si>
    <t>Hector Edgardo Maza - COUNTER SL</t>
  </si>
  <si>
    <t>Sandra Analia Exeni</t>
  </si>
  <si>
    <t>Sergio Pina - COUNTER SL</t>
  </si>
  <si>
    <t>Claudio Paulo Escudero</t>
  </si>
  <si>
    <t>H483295761</t>
  </si>
  <si>
    <t>H483295750</t>
  </si>
  <si>
    <t>AR</t>
  </si>
  <si>
    <t>Loreto Group</t>
  </si>
  <si>
    <t>Fermada SRL</t>
  </si>
  <si>
    <t>XED</t>
  </si>
  <si>
    <t>DGM</t>
  </si>
  <si>
    <t>CN</t>
  </si>
  <si>
    <t>Pablo David Olmedo</t>
  </si>
  <si>
    <t>WPX</t>
  </si>
  <si>
    <t>JAI</t>
  </si>
  <si>
    <t>IN</t>
  </si>
  <si>
    <t>1135100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</si>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</sst>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F35" sqref="F35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24</v>
      </c>
      <c r="F1" s="22" t="s">
        <v>45</v>
      </c>
      <c r="G1" s="25">
        <v>44825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66</v>
      </c>
      <c r="F2" s="22" t="s">
        <v>38</v>
      </c>
      <c r="G2" s="24">
        <v>0.35347222222222219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44824</v>
      </c>
      <c r="H3" s="13"/>
    </row>
    <row r="4" spans="1:9" ht="22.5" x14ac:dyDescent="0.3">
      <c r="A4" s="13" t="s">
        <v>44</v>
      </c>
      <c r="B4" s="13" t="s">
        <v>93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2006669556</v>
      </c>
      <c r="C6" s="13" t="s">
        <v>94</v>
      </c>
      <c r="D6" s="13" t="s">
        <v>53</v>
      </c>
      <c r="E6" s="13" t="s">
        <v>52</v>
      </c>
      <c r="F6" s="13" t="s">
        <v>97</v>
      </c>
      <c r="G6" s="17" t="s">
        <v>98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5810485553</v>
      </c>
      <c r="C7" s="13" t="s">
        <v>94</v>
      </c>
      <c r="D7" s="13" t="s">
        <v>53</v>
      </c>
      <c r="E7" s="13" t="s">
        <v>52</v>
      </c>
      <c r="F7" s="13" t="s">
        <v>103</v>
      </c>
      <c r="G7" s="17" t="s">
        <v>84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>
        <v>6224237331</v>
      </c>
      <c r="C8" s="13" t="s">
        <v>94</v>
      </c>
      <c r="D8" s="13" t="s">
        <v>53</v>
      </c>
      <c r="E8" s="13" t="s">
        <v>52</v>
      </c>
      <c r="F8" s="13" t="s">
        <v>101</v>
      </c>
      <c r="G8" s="13" t="s">
        <v>102</v>
      </c>
      <c r="H8" s="13">
        <v>1</v>
      </c>
      <c r="I8" s="13">
        <v>1</v>
      </c>
    </row>
    <row r="9" spans="1:9" ht="22.5" x14ac:dyDescent="0.3">
      <c r="A9" s="20">
        <f t="shared" si="0"/>
        <v>4</v>
      </c>
      <c r="B9" s="13">
        <v>6674807226</v>
      </c>
      <c r="C9" s="13" t="s">
        <v>94</v>
      </c>
      <c r="D9" s="13" t="s">
        <v>53</v>
      </c>
      <c r="E9" s="13" t="s">
        <v>52</v>
      </c>
      <c r="F9" s="13" t="s">
        <v>95</v>
      </c>
      <c r="G9" s="17" t="s">
        <v>96</v>
      </c>
      <c r="H9" s="13">
        <v>1</v>
      </c>
      <c r="I9" s="13">
        <v>1</v>
      </c>
    </row>
    <row r="10" spans="1:9" ht="22.5" x14ac:dyDescent="0.3">
      <c r="A10" s="20">
        <f t="shared" si="0"/>
        <v>5</v>
      </c>
      <c r="B10" s="13">
        <v>8358467950</v>
      </c>
      <c r="C10" s="13" t="s">
        <v>94</v>
      </c>
      <c r="D10" s="13" t="s">
        <v>53</v>
      </c>
      <c r="E10" s="13" t="s">
        <v>52</v>
      </c>
      <c r="F10" s="13" t="s">
        <v>99</v>
      </c>
      <c r="G10" s="17" t="s">
        <v>100</v>
      </c>
      <c r="H10" s="13">
        <v>1</v>
      </c>
      <c r="I10" s="13">
        <v>1</v>
      </c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5</v>
      </c>
      <c r="I22" s="13">
        <f>SUM(I6:I21)</f>
        <v>5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1075859330</v>
      </c>
      <c r="C24" s="13" t="s">
        <v>85</v>
      </c>
      <c r="D24" s="13" t="s">
        <v>86</v>
      </c>
      <c r="E24" s="13" t="s">
        <v>52</v>
      </c>
      <c r="F24" s="13" t="s">
        <v>87</v>
      </c>
      <c r="G24" s="13" t="s">
        <v>88</v>
      </c>
      <c r="H24" s="13">
        <v>1</v>
      </c>
      <c r="I24" s="13">
        <v>0.5</v>
      </c>
    </row>
    <row r="25" spans="1:9" ht="22.5" x14ac:dyDescent="0.3">
      <c r="A25" s="20">
        <f t="shared" si="1"/>
        <v>2</v>
      </c>
      <c r="B25" s="13">
        <v>1895376674</v>
      </c>
      <c r="C25" s="13" t="s">
        <v>78</v>
      </c>
      <c r="D25" s="13" t="s">
        <v>53</v>
      </c>
      <c r="E25" s="13" t="s">
        <v>52</v>
      </c>
      <c r="F25" s="13" t="s">
        <v>92</v>
      </c>
      <c r="G25" s="13" t="s">
        <v>84</v>
      </c>
      <c r="H25" s="13">
        <v>12</v>
      </c>
      <c r="I25" s="13">
        <v>45</v>
      </c>
    </row>
    <row r="26" spans="1:9" s="18" customFormat="1" ht="22.5" x14ac:dyDescent="0.3">
      <c r="A26" s="20">
        <f t="shared" si="1"/>
        <v>3</v>
      </c>
      <c r="B26" s="13">
        <v>3159926755</v>
      </c>
      <c r="C26" s="13" t="s">
        <v>78</v>
      </c>
      <c r="D26" s="13" t="s">
        <v>53</v>
      </c>
      <c r="E26" s="13" t="s">
        <v>52</v>
      </c>
      <c r="F26" s="13" t="s">
        <v>79</v>
      </c>
      <c r="G26" s="13" t="s">
        <v>80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7498268444</v>
      </c>
      <c r="C27" s="13" t="s">
        <v>78</v>
      </c>
      <c r="D27" s="13" t="s">
        <v>53</v>
      </c>
      <c r="E27" s="13" t="s">
        <v>52</v>
      </c>
      <c r="F27" s="13" t="s">
        <v>90</v>
      </c>
      <c r="G27" s="13" t="s">
        <v>91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>
        <v>7498326253</v>
      </c>
      <c r="C28" s="13" t="s">
        <v>78</v>
      </c>
      <c r="D28" s="13" t="s">
        <v>53</v>
      </c>
      <c r="E28" s="13" t="s">
        <v>52</v>
      </c>
      <c r="F28" s="13" t="s">
        <v>89</v>
      </c>
      <c r="G28" s="13" t="s">
        <v>84</v>
      </c>
      <c r="H28" s="13">
        <v>2</v>
      </c>
      <c r="I28" s="13">
        <v>10</v>
      </c>
    </row>
    <row r="29" spans="1:9" ht="22.5" x14ac:dyDescent="0.3">
      <c r="A29" s="20">
        <f t="shared" si="1"/>
        <v>6</v>
      </c>
      <c r="B29" s="13">
        <v>9555906533</v>
      </c>
      <c r="C29" s="13" t="s">
        <v>78</v>
      </c>
      <c r="D29" s="13" t="s">
        <v>5</v>
      </c>
      <c r="E29" s="13" t="s">
        <v>52</v>
      </c>
      <c r="F29" s="13" t="s">
        <v>83</v>
      </c>
      <c r="G29" s="13" t="s">
        <v>84</v>
      </c>
      <c r="H29" s="13">
        <v>1</v>
      </c>
      <c r="I29" s="13">
        <v>0.5</v>
      </c>
    </row>
    <row r="30" spans="1:9" ht="22.5" x14ac:dyDescent="0.3">
      <c r="A30" s="20">
        <f t="shared" si="1"/>
        <v>7</v>
      </c>
      <c r="B30" s="13">
        <v>9641292356</v>
      </c>
      <c r="C30" s="13" t="s">
        <v>78</v>
      </c>
      <c r="D30" s="13" t="s">
        <v>53</v>
      </c>
      <c r="E30" s="13" t="s">
        <v>52</v>
      </c>
      <c r="F30" s="13" t="s">
        <v>81</v>
      </c>
      <c r="G30" s="13" t="s">
        <v>82</v>
      </c>
      <c r="H30" s="13">
        <v>1</v>
      </c>
      <c r="I30" s="13">
        <v>1</v>
      </c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19</v>
      </c>
      <c r="I41" s="13">
        <f>SUM(I24:I40)</f>
        <v>61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44825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24</v>
      </c>
      <c r="G4" s="26" t="s">
        <v>31</v>
      </c>
      <c r="H4" s="30">
        <f>'Carga de Datos'!E2</f>
        <v>66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44825</v>
      </c>
      <c r="C5" s="28" t="s">
        <v>1</v>
      </c>
      <c r="D5" s="31">
        <f>'Carga de Datos'!G2</f>
        <v>0.35347222222222219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1075859330</v>
      </c>
      <c r="C9" s="9"/>
      <c r="D9" s="9"/>
      <c r="E9" s="10">
        <f>'Carga de Datos'!H24</f>
        <v>1</v>
      </c>
      <c r="F9" s="21">
        <f>'Carga de Datos'!I24</f>
        <v>0.5</v>
      </c>
      <c r="G9" s="11" t="str">
        <f>'Carga de Datos'!C24</f>
        <v>DOX</v>
      </c>
      <c r="H9" s="4"/>
      <c r="I9" s="4"/>
      <c r="J9" s="9"/>
    </row>
    <row r="10" spans="1:14" x14ac:dyDescent="0.25">
      <c r="A10" s="99"/>
      <c r="B10" s="104" t="str">
        <f>'Carga de Datos'!F24</f>
        <v>Daniel Alvarez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Lavalle 470 -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1895376674</v>
      </c>
      <c r="C12" s="9"/>
      <c r="D12" s="9"/>
      <c r="E12" s="10">
        <f>'Carga de Datos'!H25</f>
        <v>12</v>
      </c>
      <c r="F12" s="21">
        <f>'Carga de Datos'!I25</f>
        <v>45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Gustavo Escudero (NCR SRL)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Mitre 638 -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3159926755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Dra. Romina Gondolo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Av. España 712 -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7498268444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CG Comex S.A.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Av. Illia 340 PB B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7498326253</v>
      </c>
      <c r="C21" s="9"/>
      <c r="D21" s="9"/>
      <c r="E21" s="10">
        <f>'Carga de Datos'!H28</f>
        <v>2</v>
      </c>
      <c r="F21" s="21">
        <f>'Carga de Datos'!I28</f>
        <v>10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Casi Agropecuaria S.A.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Mitre 638 -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9555906533</v>
      </c>
      <c r="C24" s="9"/>
      <c r="D24" s="9"/>
      <c r="E24" s="10">
        <f>'Carga de Datos'!H29</f>
        <v>1</v>
      </c>
      <c r="F24" s="21">
        <f>'Carga de Datos'!I29</f>
        <v>0.5</v>
      </c>
      <c r="G24" s="11" t="str">
        <f>'Carga de Datos'!C29</f>
        <v>DOM</v>
      </c>
      <c r="H24" s="4"/>
      <c r="I24" s="4"/>
      <c r="J24" s="9"/>
    </row>
    <row r="25" spans="1:10" x14ac:dyDescent="0.25">
      <c r="A25" s="99"/>
      <c r="B25" s="104" t="str">
        <f>'Carga de Datos'!F29</f>
        <v>Horacio M. Caruso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 t="str">
        <f>'Carga de Datos'!G29</f>
        <v>Mitre 638 - SL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9641292356</v>
      </c>
      <c r="C27" s="9"/>
      <c r="D27" s="9"/>
      <c r="E27" s="10">
        <f>'Carga de Datos'!H30</f>
        <v>1</v>
      </c>
      <c r="F27" s="21">
        <f>'Carga de Datos'!I30</f>
        <v>1</v>
      </c>
      <c r="G27" s="11" t="str">
        <f>'Carga de Datos'!C30</f>
        <v>DOM</v>
      </c>
      <c r="H27" s="4"/>
      <c r="I27" s="4"/>
      <c r="J27" s="9"/>
    </row>
    <row r="28" spans="1:10" x14ac:dyDescent="0.25">
      <c r="A28" s="99"/>
      <c r="B28" s="104" t="str">
        <f>'Carga de Datos'!F30</f>
        <v>Daniel Román Larregola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 t="str">
        <f>'Carga de Datos'!G30</f>
        <v>Araucanos 1300 - JUANA KOSLAY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44825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24</v>
      </c>
      <c r="G4" s="26" t="s">
        <v>31</v>
      </c>
      <c r="H4" s="30">
        <f>'Carga de Datos'!E2</f>
        <v>66</v>
      </c>
      <c r="I4" s="26" t="s">
        <v>36</v>
      </c>
      <c r="J4" s="29" t="str">
        <f>'Carga de Datos'!B4</f>
        <v>H472467726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44825</v>
      </c>
      <c r="C5" s="28" t="s">
        <v>1</v>
      </c>
      <c r="D5" s="31">
        <f>'Carga de Datos'!G2</f>
        <v>0.35347222222222219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2006669556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Carola Ledesma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Maria Fernanda Tamagnini - COUNTER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5810485553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99"/>
      <c r="B13" s="104" t="str">
        <f>'Carga de Datos'!F7</f>
        <v>Claudio Paulo Escudero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Datos'!G7</f>
        <v>Mitre 638 -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6224237331</v>
      </c>
      <c r="C15" s="9"/>
      <c r="D15" s="9"/>
      <c r="E15" s="10">
        <f>'Carga de Datos'!H8</f>
        <v>1</v>
      </c>
      <c r="F15" s="21">
        <f>'Carga de Datos'!I8</f>
        <v>1</v>
      </c>
      <c r="G15" s="32" t="str">
        <f>'Carga de Datos'!C8</f>
        <v>PAS</v>
      </c>
      <c r="H15" s="4"/>
      <c r="I15" s="4"/>
      <c r="J15" s="9"/>
    </row>
    <row r="16" spans="1:14" ht="15" customHeight="1" x14ac:dyDescent="0.25">
      <c r="A16" s="99"/>
      <c r="B16" s="104" t="str">
        <f>'Carga de Datos'!F8</f>
        <v>Sandra Analia Exeni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Datos'!G8</f>
        <v>Sergio Pina - COUNTER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6674807226</v>
      </c>
      <c r="C18" s="9"/>
      <c r="D18" s="9"/>
      <c r="E18" s="10">
        <f>'Carga de Datos'!H9</f>
        <v>1</v>
      </c>
      <c r="F18" s="21">
        <f>'Carga de Datos'!I9</f>
        <v>1</v>
      </c>
      <c r="G18" s="32" t="str">
        <f>'Carga de Datos'!C9</f>
        <v>PAS</v>
      </c>
      <c r="H18" s="4"/>
      <c r="I18" s="4"/>
      <c r="J18" s="9"/>
    </row>
    <row r="19" spans="1:10" ht="15" customHeight="1" x14ac:dyDescent="0.25">
      <c r="A19" s="99"/>
      <c r="B19" s="104" t="str">
        <f>'Carga de Datos'!F9</f>
        <v>Sergio Daniel Pina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Datos'!G9</f>
        <v>Analia Exeni - COUNTER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8358467950</v>
      </c>
      <c r="C21" s="9"/>
      <c r="D21" s="9"/>
      <c r="E21" s="10">
        <f>'Carga de Datos'!H10</f>
        <v>1</v>
      </c>
      <c r="F21" s="21">
        <f>'Carga de Datos'!I10</f>
        <v>1</v>
      </c>
      <c r="G21" s="32" t="str">
        <f>'Carga de Datos'!C10</f>
        <v>PAS</v>
      </c>
      <c r="H21" s="4"/>
      <c r="I21" s="4"/>
      <c r="J21" s="9"/>
    </row>
    <row r="22" spans="1:10" ht="15" customHeight="1" x14ac:dyDescent="0.25">
      <c r="A22" s="99"/>
      <c r="B22" s="104" t="str">
        <f>'Carga de Datos'!F10</f>
        <v>Catalina Sara Maza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Datos'!G10</f>
        <v>Hector Edgardo Maza - COUNTER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E24" sqref="E24:I24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44825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116</v>
      </c>
      <c r="C7" s="45"/>
      <c r="D7" s="125">
        <f>G59</f>
        <v>48.5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1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44826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2</v>
      </c>
      <c r="D20" s="66">
        <v>2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117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105</v>
      </c>
      <c r="J27" s="160"/>
    </row>
    <row r="28" spans="1:10" ht="15" customHeight="1" x14ac:dyDescent="0.25">
      <c r="A28" s="38"/>
      <c r="B28" s="73">
        <v>2477014606</v>
      </c>
      <c r="C28" s="153" t="s">
        <v>90</v>
      </c>
      <c r="D28" s="154"/>
      <c r="E28" s="74" t="s">
        <v>78</v>
      </c>
      <c r="F28" s="74" t="s">
        <v>53</v>
      </c>
      <c r="G28" s="74">
        <v>0.5</v>
      </c>
      <c r="H28" s="74">
        <v>1</v>
      </c>
      <c r="I28" s="92" t="s">
        <v>106</v>
      </c>
      <c r="J28" s="39"/>
    </row>
    <row r="29" spans="1:10" ht="15" customHeight="1" x14ac:dyDescent="0.25">
      <c r="A29" s="38"/>
      <c r="B29" s="76">
        <v>7421066085</v>
      </c>
      <c r="C29" s="153" t="s">
        <v>107</v>
      </c>
      <c r="D29" s="154"/>
      <c r="E29" s="74" t="s">
        <v>78</v>
      </c>
      <c r="F29" s="74" t="s">
        <v>53</v>
      </c>
      <c r="G29" s="74">
        <v>0.5</v>
      </c>
      <c r="H29" s="74">
        <v>1</v>
      </c>
      <c r="I29" s="92" t="s">
        <v>106</v>
      </c>
      <c r="J29" s="39"/>
    </row>
    <row r="30" spans="1:10" ht="15" customHeight="1" x14ac:dyDescent="0.25">
      <c r="A30" s="38"/>
      <c r="B30" s="76">
        <v>3784089455</v>
      </c>
      <c r="C30" s="153" t="s">
        <v>108</v>
      </c>
      <c r="D30" s="154"/>
      <c r="E30" s="74" t="s">
        <v>109</v>
      </c>
      <c r="F30" s="74" t="s">
        <v>110</v>
      </c>
      <c r="G30" s="74">
        <v>0.5</v>
      </c>
      <c r="H30" s="74">
        <v>1</v>
      </c>
      <c r="I30" s="75" t="s">
        <v>111</v>
      </c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104</v>
      </c>
      <c r="J35" s="39"/>
    </row>
    <row r="36" spans="1:10" ht="15" customHeight="1" x14ac:dyDescent="0.25">
      <c r="A36" s="38"/>
      <c r="B36" s="76">
        <v>1075883760</v>
      </c>
      <c r="C36" s="153" t="s">
        <v>112</v>
      </c>
      <c r="D36" s="154"/>
      <c r="E36" s="74" t="s">
        <v>113</v>
      </c>
      <c r="F36" s="74" t="s">
        <v>114</v>
      </c>
      <c r="G36" s="74">
        <v>47</v>
      </c>
      <c r="H36" s="74">
        <v>1</v>
      </c>
      <c r="I36" s="75" t="s">
        <v>115</v>
      </c>
      <c r="J36" s="39"/>
    </row>
    <row r="37" spans="1:10" ht="15" customHeight="1" x14ac:dyDescent="0.25">
      <c r="A37" s="38"/>
      <c r="B37" s="76"/>
      <c r="C37" s="153"/>
      <c r="D37" s="154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48.5</v>
      </c>
      <c r="H59" s="89">
        <f>SUM(H28:H58)</f>
        <v>4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2022-09-21T17:32:58Z</cp:lastPrinted>
  <dcterms:created xsi:type="dcterms:W3CDTF">2016-08-11T13:59:12Z</dcterms:created>
  <dcterms:modified xsi:type="dcterms:W3CDTF">2022-09-21T17:36:03Z</dcterms:modified>
</cp:coreProperties>
</file>