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724C806E-71AA-41FC-BFEE-BDF927C65FB4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<sst xmlns="http://schemas.openxmlformats.org/spreadsheetml/2006/main" count="195" uniqueCount="111">
  <si>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</si>
  <si>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</si>
  <si>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</si>
  <si>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</si>
  <si>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</si>
  <si>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</si>
  <si>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</si>
  <si>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</si>
  <si>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</si>
  <si>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</si>
  <si>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</si>
  <si>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</si>
  <si>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</si>
  <si>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</si>
  <si>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</si>
  <si>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</si>
  <si>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</si>
  <si>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</si>
  <si>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</si>
  <si>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</si>
  <si>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</si>
  <si>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</si>
  <si>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</si>
  <si>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</si>
  <si>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</si>
  <si>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</si>
  <si>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</si>
  <si>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</si>
  <si>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</si>
  <si>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</si>
  <si>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</si>
  <si>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</si>
  <si>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</si>
  <si>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</si>
  <si>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</si>
  <si>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</si>
  <si>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</si>
  <si>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</si>
  <si>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</si>
  <si>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</si>
  <si>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</si>
  <si>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</si>
  <si>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</si>
  <si>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</si>
  <si>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</si>
  <si>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</si>
  <si>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</si>
  <si>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</si>
  <si>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</si>
  <si>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</si>
  <si>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</si>
  <si>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</si>
  <si>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</si>
  <si>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</si>
  <si>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</si>
  <si>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</si>
  <si>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</si>
  <si>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</si>
  <si>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</si>
  <si>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</si>
  <si>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</si>
  <si>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</si>
  <si>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</si>
  <si>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</si>
  <si>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</si>
  <si>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</si>
  <si>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</si>
  <si>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</si>
  <si>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</si>
  <si>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</si>
  <si>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</si>
  <si>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</si>
  <si>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</si>
  <si>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</si>
  <si>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</si>
  <si>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</si>
  <si>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</si>
  <si>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</si>
  <si>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</si>
  <si>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Hilda Beatriz Carbonell</t>
  </si>
  <si>
    <t>Av. Pte. Perón 1322 - SL</t>
  </si>
  <si>
    <t>Luisa Valencia</t>
  </si>
  <si>
    <t>B° Mirador del Portezuelo Mz 17 Casa 17 - SL</t>
  </si>
  <si>
    <t>Jesus Rafael Alejandrino</t>
  </si>
  <si>
    <t>Leandro N. Alem 1733 - SL</t>
  </si>
  <si>
    <t>Juan Manuel Laborda</t>
  </si>
  <si>
    <t>Av. Pte Perón 598 - SL</t>
  </si>
  <si>
    <t>Travel Rock San Luis</t>
  </si>
  <si>
    <t>Ituzaingo 806 1er Piso - SL</t>
  </si>
  <si>
    <t>Juan Galera (NCR SRL)</t>
  </si>
  <si>
    <t>Mitre 638 - SL</t>
  </si>
  <si>
    <t>H525645842</t>
  </si>
  <si>
    <t>H472469605</t>
  </si>
  <si>
    <t>PAS</t>
  </si>
  <si>
    <t>Renzo Miguel Galli</t>
  </si>
  <si>
    <t>Jorgelina Hernandez - COUNTER SL</t>
  </si>
  <si>
    <t>Andres Humberto Meineri</t>
  </si>
  <si>
    <t>Balbina Maria Diaz Pernas - COUNTER SL</t>
  </si>
  <si>
    <t>Jorgelina Nadia Orellano</t>
  </si>
  <si>
    <t>Colgate Palmolive Argentina S.A.</t>
  </si>
  <si>
    <t>WPX</t>
  </si>
  <si>
    <t>MEX</t>
  </si>
  <si>
    <t>MX</t>
  </si>
  <si>
    <t>Multioriginal Parts S.A.</t>
  </si>
  <si>
    <t>BCA</t>
  </si>
  <si>
    <t>AR</t>
  </si>
  <si>
    <t>Dra. Fernanda Zapata</t>
  </si>
  <si>
    <t>Betiana Haydee Peña</t>
  </si>
  <si>
    <t>1135097</t>
  </si>
  <si>
    <t>H483295864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</si>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</sst>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G4" sqref="G4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9</v>
      </c>
      <c r="F1" s="22" t="s">
        <v>45</v>
      </c>
      <c r="G1" s="25">
        <v>44833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12</v>
      </c>
      <c r="F2" s="22" t="s">
        <v>38</v>
      </c>
      <c r="G2" s="24">
        <v>0.40972222222222227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44832</v>
      </c>
      <c r="H3" s="13"/>
    </row>
    <row r="4" spans="1:9" ht="22.5" x14ac:dyDescent="0.3">
      <c r="A4" s="13" t="s">
        <v>44</v>
      </c>
      <c r="B4" s="13" t="s">
        <v>92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5483230314</v>
      </c>
      <c r="C6" s="13" t="s">
        <v>93</v>
      </c>
      <c r="D6" s="13" t="s">
        <v>53</v>
      </c>
      <c r="E6" s="13" t="s">
        <v>52</v>
      </c>
      <c r="F6" s="13" t="s">
        <v>98</v>
      </c>
      <c r="G6" s="17" t="s">
        <v>90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6102291565</v>
      </c>
      <c r="C7" s="13" t="s">
        <v>93</v>
      </c>
      <c r="D7" s="13" t="s">
        <v>53</v>
      </c>
      <c r="E7" s="13" t="s">
        <v>52</v>
      </c>
      <c r="F7" s="13" t="s">
        <v>96</v>
      </c>
      <c r="G7" s="17" t="s">
        <v>97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>
        <v>9230548655</v>
      </c>
      <c r="C8" s="13" t="s">
        <v>93</v>
      </c>
      <c r="D8" s="13" t="s">
        <v>53</v>
      </c>
      <c r="E8" s="13" t="s">
        <v>52</v>
      </c>
      <c r="F8" s="13" t="s">
        <v>94</v>
      </c>
      <c r="G8" s="17" t="s">
        <v>95</v>
      </c>
      <c r="H8" s="13">
        <v>1</v>
      </c>
      <c r="I8" s="13">
        <v>1</v>
      </c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91</v>
      </c>
      <c r="C22" s="13"/>
      <c r="D22" s="13"/>
      <c r="E22" s="13"/>
      <c r="F22" s="13"/>
      <c r="G22" s="82" t="s">
        <v>37</v>
      </c>
      <c r="H22" s="13">
        <f>SUM(H6:H21)</f>
        <v>3</v>
      </c>
      <c r="I22" s="13">
        <f>SUM(I6:I21)</f>
        <v>3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2062940176</v>
      </c>
      <c r="C24" s="13" t="s">
        <v>78</v>
      </c>
      <c r="D24" s="13" t="s">
        <v>53</v>
      </c>
      <c r="E24" s="13" t="s">
        <v>52</v>
      </c>
      <c r="F24" s="13" t="s">
        <v>83</v>
      </c>
      <c r="G24" s="13" t="s">
        <v>84</v>
      </c>
      <c r="H24" s="13">
        <v>1</v>
      </c>
      <c r="I24" s="13">
        <v>0.5</v>
      </c>
    </row>
    <row r="25" spans="1:9" ht="22.5" x14ac:dyDescent="0.3">
      <c r="A25" s="20">
        <f t="shared" si="1"/>
        <v>2</v>
      </c>
      <c r="B25" s="13">
        <v>3768185105</v>
      </c>
      <c r="C25" s="13" t="s">
        <v>78</v>
      </c>
      <c r="D25" s="13" t="s">
        <v>53</v>
      </c>
      <c r="E25" s="13" t="s">
        <v>52</v>
      </c>
      <c r="F25" s="13" t="s">
        <v>87</v>
      </c>
      <c r="G25" s="13" t="s">
        <v>88</v>
      </c>
      <c r="H25" s="13">
        <v>1</v>
      </c>
      <c r="I25" s="13">
        <v>0.5</v>
      </c>
    </row>
    <row r="26" spans="1:9" s="18" customFormat="1" ht="22.5" x14ac:dyDescent="0.3">
      <c r="A26" s="20">
        <f t="shared" si="1"/>
        <v>3</v>
      </c>
      <c r="B26" s="13">
        <v>4493850981</v>
      </c>
      <c r="C26" s="13" t="s">
        <v>78</v>
      </c>
      <c r="D26" s="13" t="s">
        <v>53</v>
      </c>
      <c r="E26" s="13" t="s">
        <v>52</v>
      </c>
      <c r="F26" s="13" t="s">
        <v>89</v>
      </c>
      <c r="G26" s="13" t="s">
        <v>90</v>
      </c>
      <c r="H26" s="13">
        <v>1</v>
      </c>
      <c r="I26" s="13">
        <v>5</v>
      </c>
    </row>
    <row r="27" spans="1:9" s="18" customFormat="1" ht="22.5" x14ac:dyDescent="0.3">
      <c r="A27" s="20">
        <f t="shared" si="1"/>
        <v>4</v>
      </c>
      <c r="B27" s="13">
        <v>8054722513</v>
      </c>
      <c r="C27" s="13" t="s">
        <v>78</v>
      </c>
      <c r="D27" s="13" t="s">
        <v>53</v>
      </c>
      <c r="E27" s="13" t="s">
        <v>52</v>
      </c>
      <c r="F27" s="13" t="s">
        <v>81</v>
      </c>
      <c r="G27" s="13" t="s">
        <v>82</v>
      </c>
      <c r="H27" s="13">
        <v>1</v>
      </c>
      <c r="I27" s="13">
        <v>0.5</v>
      </c>
    </row>
    <row r="28" spans="1:9" ht="22.5" x14ac:dyDescent="0.3">
      <c r="A28" s="20">
        <f t="shared" si="1"/>
        <v>5</v>
      </c>
      <c r="B28" s="13">
        <v>9879934072</v>
      </c>
      <c r="C28" s="13" t="s">
        <v>78</v>
      </c>
      <c r="D28" s="13" t="s">
        <v>53</v>
      </c>
      <c r="E28" s="13" t="s">
        <v>52</v>
      </c>
      <c r="F28" s="13" t="s">
        <v>79</v>
      </c>
      <c r="G28" s="13" t="s">
        <v>80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9879946930</v>
      </c>
      <c r="C29" s="13" t="s">
        <v>78</v>
      </c>
      <c r="D29" s="13" t="s">
        <v>53</v>
      </c>
      <c r="E29" s="13" t="s">
        <v>52</v>
      </c>
      <c r="F29" s="13" t="s">
        <v>85</v>
      </c>
      <c r="G29" s="13" t="s">
        <v>86</v>
      </c>
      <c r="H29" s="13">
        <v>1</v>
      </c>
      <c r="I29" s="13">
        <v>0.5</v>
      </c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6</v>
      </c>
      <c r="I41" s="13">
        <f>SUM(I24:I40)</f>
        <v>9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31" sqref="B31:E31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8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44833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12</v>
      </c>
      <c r="I4" s="26" t="s">
        <v>36</v>
      </c>
      <c r="J4" s="29" t="str">
        <f>'Carga de Datos'!B22</f>
        <v>H525645842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44833</v>
      </c>
      <c r="C5" s="28" t="s">
        <v>1</v>
      </c>
      <c r="D5" s="31">
        <f>'Carga de Datos'!G2</f>
        <v>0.40972222222222227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2062940176</v>
      </c>
      <c r="C9" s="9"/>
      <c r="D9" s="9"/>
      <c r="E9" s="10">
        <f>'Carga de Datos'!H24</f>
        <v>1</v>
      </c>
      <c r="F9" s="21">
        <f>'Carga de Datos'!I24</f>
        <v>0.5</v>
      </c>
      <c r="G9" s="11" t="str">
        <f>'Carga de Datos'!C24</f>
        <v>DOM</v>
      </c>
      <c r="H9" s="4"/>
      <c r="I9" s="4"/>
      <c r="J9" s="9"/>
    </row>
    <row r="10" spans="1:14" x14ac:dyDescent="0.25">
      <c r="A10" s="103"/>
      <c r="B10" s="107" t="str">
        <f>'Carga de Datos'!F24</f>
        <v>Jesus Rafael Alejandrino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Datos'!G24</f>
        <v>Leandro N. Alem 1733 -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customHeight="1" x14ac:dyDescent="0.25">
      <c r="A12" s="8" t="s">
        <v>18</v>
      </c>
      <c r="B12" s="33">
        <f>'Carga de Datos'!B25</f>
        <v>3768185105</v>
      </c>
      <c r="C12" s="9"/>
      <c r="D12" s="9"/>
      <c r="E12" s="10">
        <f>'Carga de Datos'!H25</f>
        <v>1</v>
      </c>
      <c r="F12" s="21">
        <f>'Carga de Datos'!I25</f>
        <v>0.5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3"/>
      <c r="B13" s="107" t="str">
        <f>'Carga de Datos'!F25</f>
        <v>Travel Rock San Luis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Datos'!G25</f>
        <v>Ituzaingo 806 1er Piso -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Datos'!B26</f>
        <v>4493850981</v>
      </c>
      <c r="C15" s="9"/>
      <c r="D15" s="9"/>
      <c r="E15" s="10">
        <f>'Carga de Datos'!H26</f>
        <v>1</v>
      </c>
      <c r="F15" s="21">
        <f>'Carga de Datos'!I26</f>
        <v>5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3"/>
      <c r="B16" s="107" t="str">
        <f>'Carga de Datos'!F26</f>
        <v>Juan Galera (NCR SRL)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Datos'!G26</f>
        <v>Mitre 638 -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Datos'!B27</f>
        <v>8054722513</v>
      </c>
      <c r="C18" s="9"/>
      <c r="D18" s="9"/>
      <c r="E18" s="10">
        <f>'Carga de Datos'!H27</f>
        <v>1</v>
      </c>
      <c r="F18" s="21">
        <f>'Carga de Datos'!I27</f>
        <v>0.5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3"/>
      <c r="B19" s="107" t="str">
        <f>'Carga de Datos'!F27</f>
        <v>Luisa Valencia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 t="str">
        <f>'Carga de Datos'!G27</f>
        <v>B° Mirador del Portezuelo Mz 17 Casa 17 - SL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Datos'!B28</f>
        <v>9879934072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103"/>
      <c r="B22" s="107" t="str">
        <f>'Carga de Datos'!F28</f>
        <v>Hilda Beatriz Carbonell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 t="str">
        <f>'Carga de Datos'!G28</f>
        <v>Av. Pte. Perón 1322 - SL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Datos'!B29</f>
        <v>9879946930</v>
      </c>
      <c r="C24" s="9"/>
      <c r="D24" s="9"/>
      <c r="E24" s="10">
        <f>'Carga de Datos'!H29</f>
        <v>1</v>
      </c>
      <c r="F24" s="21">
        <f>'Carga de Datos'!I29</f>
        <v>0.5</v>
      </c>
      <c r="G24" s="11" t="str">
        <f>'Carga de Datos'!C29</f>
        <v>DOM</v>
      </c>
      <c r="H24" s="4"/>
      <c r="I24" s="4"/>
      <c r="J24" s="9"/>
    </row>
    <row r="25" spans="1:10" x14ac:dyDescent="0.25">
      <c r="A25" s="103"/>
      <c r="B25" s="107" t="str">
        <f>'Carga de Datos'!F29</f>
        <v>Juan Manuel Laborda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 t="str">
        <f>'Carga de Datos'!G29</f>
        <v>Av. Pte Perón 598 - SL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3"/>
      <c r="B28" s="107">
        <f>'Carga de Datos'!F30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Datos'!G30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05"/>
      <c r="B31" s="107">
        <f>'Carga de Datos'!F31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Datos'!G31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5"/>
      <c r="B34" s="107">
        <f>'Carga de Datos'!F32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Datos'!G32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5"/>
      <c r="B37" s="107">
        <f>'Carga de Datos'!F33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Datos'!G33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8"/>
      <c r="B40" s="107">
        <f>'Carga de Datos'!F34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Datos'!G34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Datos'!F35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Datos'!G35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8"/>
      <c r="B46" s="107">
        <f>'Carga de Datos'!F36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Datos'!G36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8"/>
      <c r="B49" s="107">
        <f>'Carga de Datos'!F37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Datos'!G37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8"/>
      <c r="B52" s="107">
        <f>'Carga de Datos'!F38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Datos'!G38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8"/>
      <c r="B55" s="107">
        <f>'Carga de Datos'!F39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Datos'!G39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8" t="s">
        <v>43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44833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12</v>
      </c>
      <c r="I4" s="26" t="s">
        <v>36</v>
      </c>
      <c r="J4" s="29" t="str">
        <f>'Carga de Datos'!B4</f>
        <v>H472469605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44833</v>
      </c>
      <c r="C5" s="28" t="s">
        <v>1</v>
      </c>
      <c r="D5" s="31">
        <f>'Carga de Datos'!G2</f>
        <v>0.40972222222222227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5483230314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3"/>
      <c r="B10" s="107" t="str">
        <f>'Carga de Datos'!F6</f>
        <v>Jorgelina Nadia Orellano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Datos'!G6</f>
        <v>Mitre 638 -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x14ac:dyDescent="0.25">
      <c r="A12" s="8" t="s">
        <v>18</v>
      </c>
      <c r="B12" s="33">
        <f>'Carga de Datos'!B7</f>
        <v>6102291565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103"/>
      <c r="B13" s="107" t="str">
        <f>'Carga de Datos'!F7</f>
        <v>Andres Humberto Meineri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Datos'!G7</f>
        <v>Balbina Maria Diaz Pernas - COUNTER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Datos'!B8</f>
        <v>9230548655</v>
      </c>
      <c r="C15" s="9"/>
      <c r="D15" s="9"/>
      <c r="E15" s="10">
        <f>'Carga de Datos'!H8</f>
        <v>1</v>
      </c>
      <c r="F15" s="21">
        <f>'Carga de Datos'!I8</f>
        <v>1</v>
      </c>
      <c r="G15" s="32" t="str">
        <f>'Carga de Datos'!C8</f>
        <v>PAS</v>
      </c>
      <c r="H15" s="4"/>
      <c r="I15" s="4"/>
      <c r="J15" s="9"/>
    </row>
    <row r="16" spans="1:14" ht="15" customHeight="1" x14ac:dyDescent="0.25">
      <c r="A16" s="103"/>
      <c r="B16" s="107" t="str">
        <f>'Carga de Datos'!F8</f>
        <v>Renzo Miguel Galli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Datos'!G8</f>
        <v>Jorgelina Hernandez - COUNTER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3"/>
      <c r="B19" s="107">
        <f>'Carga de Datos'!F9</f>
        <v>0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>
        <f>'Carga de Datos'!G9</f>
        <v>0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3"/>
      <c r="B22" s="107">
        <f>'Carga de Datos'!F10</f>
        <v>0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>
        <f>'Carga de Datos'!G10</f>
        <v>0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3"/>
      <c r="B25" s="107">
        <f>'Carga de Datos'!F11</f>
        <v>0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>
        <f>'Carga de Datos'!G11</f>
        <v>0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3"/>
      <c r="B28" s="107">
        <f>'Carga de Datos'!F12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Datos'!G12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5"/>
      <c r="B31" s="107">
        <f>'Carga de Datos'!F13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Datos'!G13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5"/>
      <c r="B34" s="107">
        <f>'Carga de Datos'!F14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Datos'!G14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5"/>
      <c r="B37" s="107">
        <f>'Carga de Datos'!F15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Datos'!G15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8"/>
      <c r="B40" s="107">
        <f>'Carga de Datos'!F16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Datos'!G16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Datos'!F17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Datos'!G17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8"/>
      <c r="B46" s="107">
        <f>'Carga de Datos'!F18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Datos'!G18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8"/>
      <c r="B49" s="107">
        <f>'Carga de Datos'!F19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Datos'!G19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8"/>
      <c r="B52" s="107">
        <f>'Carga de Datos'!F20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Datos'!G20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8"/>
      <c r="B55" s="107">
        <f>'Carga de Datos'!F21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Datos'!G21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C38" sqref="C38:D38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7" t="s">
        <v>48</v>
      </c>
      <c r="D2" s="167"/>
      <c r="E2" s="167"/>
      <c r="F2" s="167"/>
      <c r="G2" s="167"/>
      <c r="H2" s="167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8"/>
      <c r="H4" s="169"/>
      <c r="I4" s="100">
        <f>'Carga de Datos'!G1</f>
        <v>44833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5" t="s">
        <v>49</v>
      </c>
      <c r="E6" s="156"/>
      <c r="F6" s="41"/>
      <c r="G6" s="41"/>
      <c r="H6" s="170" t="s">
        <v>76</v>
      </c>
      <c r="I6" s="156"/>
      <c r="J6" s="39"/>
    </row>
    <row r="7" spans="1:17" s="48" customFormat="1" ht="27" customHeight="1" thickBot="1" x14ac:dyDescent="0.3">
      <c r="A7" s="44"/>
      <c r="B7" s="98" t="s">
        <v>108</v>
      </c>
      <c r="C7" s="45"/>
      <c r="D7" s="157">
        <f>G59</f>
        <v>10</v>
      </c>
      <c r="E7" s="171"/>
      <c r="F7" s="46"/>
      <c r="G7" s="45"/>
      <c r="H7" s="157">
        <v>1</v>
      </c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5" t="s">
        <v>75</v>
      </c>
      <c r="I8" s="156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7">
        <v>0</v>
      </c>
      <c r="I9" s="15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9" t="s">
        <v>51</v>
      </c>
      <c r="F10" s="16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1" t="s">
        <v>53</v>
      </c>
      <c r="F11" s="16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3"/>
      <c r="E13" s="164"/>
      <c r="F13" s="165"/>
      <c r="G13" s="41"/>
      <c r="H13" s="166"/>
      <c r="I13" s="16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5">
        <f>I4+1</f>
        <v>44834</v>
      </c>
      <c r="E14" s="146"/>
      <c r="F14" s="147"/>
      <c r="G14" s="45"/>
      <c r="H14" s="148"/>
      <c r="I14" s="14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50"/>
      <c r="C16" s="151"/>
      <c r="D16" s="151"/>
      <c r="E16" s="151"/>
      <c r="F16" s="151"/>
      <c r="G16" s="151"/>
      <c r="H16" s="151"/>
      <c r="I16" s="15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3" t="s">
        <v>56</v>
      </c>
      <c r="F17" s="153"/>
      <c r="G17" s="153"/>
      <c r="H17" s="153"/>
      <c r="I17" s="154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32"/>
      <c r="F18" s="132"/>
      <c r="G18" s="132"/>
      <c r="H18" s="133"/>
      <c r="I18" s="134"/>
      <c r="J18" s="39"/>
    </row>
    <row r="19" spans="1:10" ht="24.75" customHeight="1" thickBot="1" x14ac:dyDescent="0.3">
      <c r="A19" s="38"/>
      <c r="B19" s="64" t="s">
        <v>58</v>
      </c>
      <c r="C19" s="65">
        <v>1</v>
      </c>
      <c r="D19" s="66">
        <v>1</v>
      </c>
      <c r="E19" s="132"/>
      <c r="F19" s="132"/>
      <c r="G19" s="132"/>
      <c r="H19" s="133"/>
      <c r="I19" s="134"/>
      <c r="J19" s="39"/>
    </row>
    <row r="20" spans="1:10" ht="24.75" customHeight="1" thickBot="1" x14ac:dyDescent="0.3">
      <c r="A20" s="38"/>
      <c r="B20" s="64" t="s">
        <v>59</v>
      </c>
      <c r="C20" s="65">
        <v>4</v>
      </c>
      <c r="D20" s="66">
        <v>4</v>
      </c>
      <c r="E20" s="141"/>
      <c r="F20" s="142"/>
      <c r="G20" s="142"/>
      <c r="H20" s="143"/>
      <c r="I20" s="14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2"/>
      <c r="F21" s="132"/>
      <c r="G21" s="132"/>
      <c r="H21" s="133"/>
      <c r="I21" s="134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2"/>
      <c r="F22" s="132"/>
      <c r="G22" s="132"/>
      <c r="H22" s="133"/>
      <c r="I22" s="134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35" t="s">
        <v>110</v>
      </c>
      <c r="F23" s="136"/>
      <c r="G23" s="136"/>
      <c r="H23" s="136"/>
      <c r="I23" s="13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5"/>
      <c r="F24" s="136"/>
      <c r="G24" s="136"/>
      <c r="H24" s="136"/>
      <c r="I24" s="13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8" t="s">
        <v>65</v>
      </c>
      <c r="D26" s="13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9" t="s">
        <v>109</v>
      </c>
      <c r="J27" s="140"/>
    </row>
    <row r="28" spans="1:10" ht="15" customHeight="1" x14ac:dyDescent="0.25">
      <c r="A28" s="38"/>
      <c r="B28" s="73">
        <v>8522213556</v>
      </c>
      <c r="C28" s="121" t="s">
        <v>99</v>
      </c>
      <c r="D28" s="122"/>
      <c r="E28" s="74" t="s">
        <v>100</v>
      </c>
      <c r="F28" s="74" t="s">
        <v>101</v>
      </c>
      <c r="G28" s="74">
        <v>1.5</v>
      </c>
      <c r="H28" s="74">
        <v>1</v>
      </c>
      <c r="I28" s="92" t="s">
        <v>102</v>
      </c>
      <c r="J28" s="39"/>
    </row>
    <row r="29" spans="1:10" ht="15" customHeight="1" x14ac:dyDescent="0.25">
      <c r="A29" s="38"/>
      <c r="B29" s="76">
        <v>8522131962</v>
      </c>
      <c r="C29" s="121" t="s">
        <v>103</v>
      </c>
      <c r="D29" s="122"/>
      <c r="E29" s="74" t="s">
        <v>78</v>
      </c>
      <c r="F29" s="74" t="s">
        <v>104</v>
      </c>
      <c r="G29" s="74">
        <v>0.5</v>
      </c>
      <c r="H29" s="74">
        <v>1</v>
      </c>
      <c r="I29" s="75" t="s">
        <v>105</v>
      </c>
      <c r="J29" s="39"/>
    </row>
    <row r="30" spans="1:10" ht="15" customHeight="1" x14ac:dyDescent="0.25">
      <c r="A30" s="38"/>
      <c r="B30" s="76">
        <v>9065175335</v>
      </c>
      <c r="C30" s="121" t="s">
        <v>89</v>
      </c>
      <c r="D30" s="122"/>
      <c r="E30" s="74" t="s">
        <v>78</v>
      </c>
      <c r="F30" s="74" t="s">
        <v>53</v>
      </c>
      <c r="G30" s="74">
        <v>3</v>
      </c>
      <c r="H30" s="74">
        <v>1</v>
      </c>
      <c r="I30" s="75" t="s">
        <v>105</v>
      </c>
      <c r="J30" s="39"/>
    </row>
    <row r="31" spans="1:10" ht="15" customHeight="1" x14ac:dyDescent="0.25">
      <c r="A31" s="38"/>
      <c r="B31" s="76">
        <v>4692462762</v>
      </c>
      <c r="C31" s="121" t="s">
        <v>106</v>
      </c>
      <c r="D31" s="122"/>
      <c r="E31" s="74" t="s">
        <v>78</v>
      </c>
      <c r="F31" s="74" t="s">
        <v>53</v>
      </c>
      <c r="G31" s="74">
        <v>2</v>
      </c>
      <c r="H31" s="74">
        <v>1</v>
      </c>
      <c r="I31" s="75" t="s">
        <v>105</v>
      </c>
      <c r="J31" s="90"/>
    </row>
    <row r="32" spans="1:10" ht="15" customHeight="1" x14ac:dyDescent="0.25">
      <c r="A32" s="38"/>
      <c r="B32" s="76">
        <v>9768532060</v>
      </c>
      <c r="C32" s="121" t="s">
        <v>107</v>
      </c>
      <c r="D32" s="122"/>
      <c r="E32" s="74" t="s">
        <v>78</v>
      </c>
      <c r="F32" s="74" t="s">
        <v>53</v>
      </c>
      <c r="G32" s="74">
        <v>3</v>
      </c>
      <c r="H32" s="74">
        <v>1</v>
      </c>
      <c r="I32" s="75" t="s">
        <v>105</v>
      </c>
      <c r="J32" s="39"/>
    </row>
    <row r="33" spans="1:10" ht="15" customHeight="1" x14ac:dyDescent="0.25">
      <c r="A33" s="38"/>
      <c r="B33" s="76"/>
      <c r="C33" s="121"/>
      <c r="D33" s="122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1"/>
      <c r="D34" s="122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3"/>
      <c r="D35" s="124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1"/>
      <c r="D36" s="122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1"/>
      <c r="D37" s="122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1"/>
      <c r="D38" s="122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1"/>
      <c r="D39" s="122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1"/>
      <c r="D40" s="122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1"/>
      <c r="D41" s="122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1"/>
      <c r="D42" s="122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1"/>
      <c r="D43" s="122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1"/>
      <c r="D44" s="122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1"/>
      <c r="D45" s="122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1"/>
      <c r="D46" s="122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1"/>
      <c r="D47" s="122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1"/>
      <c r="D48" s="122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1"/>
      <c r="D49" s="122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1"/>
      <c r="D50" s="122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1"/>
      <c r="D51" s="122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1"/>
      <c r="D52" s="122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1"/>
      <c r="D53" s="122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1"/>
      <c r="D54" s="122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1"/>
      <c r="D55" s="122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1"/>
      <c r="D56" s="122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1"/>
      <c r="D57" s="122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6"/>
      <c r="D58" s="126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5" t="s">
        <v>70</v>
      </c>
      <c r="D59" s="125"/>
      <c r="E59" s="89"/>
      <c r="F59" s="89"/>
      <c r="G59" s="89">
        <f>SUM(G28:G58)</f>
        <v>10</v>
      </c>
      <c r="H59" s="89">
        <f>SUM(H28:H58)</f>
        <v>5</v>
      </c>
      <c r="I59" s="87"/>
      <c r="J59" s="39"/>
    </row>
    <row r="60" spans="1:10" ht="15" customHeight="1" x14ac:dyDescent="0.2">
      <c r="A60" s="38"/>
      <c r="B60" s="73"/>
      <c r="C60" s="125"/>
      <c r="D60" s="125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7" t="s">
        <v>71</v>
      </c>
      <c r="C61" s="128"/>
      <c r="D61" s="128"/>
      <c r="E61" s="128"/>
      <c r="F61" s="128"/>
      <c r="G61" s="128"/>
      <c r="H61" s="128"/>
      <c r="I61" s="129"/>
      <c r="J61" s="39"/>
    </row>
    <row r="62" spans="1:10" ht="15" customHeight="1" x14ac:dyDescent="0.2">
      <c r="A62" s="38"/>
      <c r="B62" s="73"/>
      <c r="C62" s="130"/>
      <c r="D62" s="131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5"/>
      <c r="D63" s="125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5"/>
      <c r="D64" s="125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5"/>
      <c r="D65" s="125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5"/>
      <c r="D66" s="125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5"/>
      <c r="D67" s="125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5"/>
      <c r="D68" s="125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5"/>
      <c r="D69" s="125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2022-09-29T19:23:19Z</cp:lastPrinted>
  <dcterms:created xsi:type="dcterms:W3CDTF">2016-08-11T13:59:12Z</dcterms:created>
  <dcterms:modified xsi:type="dcterms:W3CDTF">2022-09-29T20:03:18Z</dcterms:modified>
</cp:coreProperties>
</file>