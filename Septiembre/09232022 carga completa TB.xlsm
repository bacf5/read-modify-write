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64B7F13D-0F66-47C7-AF25-5BA5CC6FB48E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<sst xmlns="http://schemas.openxmlformats.org/spreadsheetml/2006/main" count="245" uniqueCount="128">
  <si>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</si>
  <si>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</si>
  <si>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</si>
  <si>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</si>
  <si>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</si>
  <si>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</si>
  <si>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</si>
  <si>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</si>
  <si>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</si>
  <si>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</si>
  <si>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</si>
  <si>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</si>
  <si>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</si>
  <si>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</si>
  <si>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</si>
  <si>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</si>
  <si>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</si>
  <si>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</si>
  <si>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</si>
  <si>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</si>
  <si>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</si>
  <si>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</si>
  <si>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</si>
  <si>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</si>
  <si>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</si>
  <si>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</si>
  <si>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</si>
  <si>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</si>
  <si>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</si>
  <si>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</si>
  <si>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</si>
  <si>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</si>
  <si>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</si>
  <si>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</si>
  <si>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</si>
  <si>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</si>
  <si>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</si>
  <si>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</si>
  <si>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</si>
  <si>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</si>
  <si>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</si>
  <si>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</si>
  <si>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</si>
  <si>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</si>
  <si>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</si>
  <si>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</si>
  <si>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</si>
  <si>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</si>
  <si>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</si>
  <si>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</si>
  <si>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</si>
  <si>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</si>
  <si>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</si>
  <si>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</si>
  <si>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</si>
  <si>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</si>
  <si>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</si>
  <si>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</si>
  <si>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</si>
  <si>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</si>
  <si>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</si>
  <si>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</si>
  <si>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</si>
  <si>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</si>
  <si>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</si>
  <si>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</si>
  <si>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</si>
  <si>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</si>
  <si>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</si>
  <si>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</si>
  <si>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</si>
  <si>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</si>
  <si>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</si>
  <si>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</si>
  <si>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</si>
  <si>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</si>
  <si>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</si>
  <si>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</si>
  <si>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DOM</t>
  </si>
  <si>
    <t>Mariana Cordoba</t>
  </si>
  <si>
    <t>Rivadavia 1383 - SL</t>
  </si>
  <si>
    <t>WPX</t>
  </si>
  <si>
    <t>GVA</t>
  </si>
  <si>
    <t>Colgate Palmolive Argentina S.A.</t>
  </si>
  <si>
    <t>Calle 5 y 105 - SL</t>
  </si>
  <si>
    <t>DOX</t>
  </si>
  <si>
    <t>ZRH</t>
  </si>
  <si>
    <t>Fernando Daniel Aiello</t>
  </si>
  <si>
    <t>B° Los Quebrachos Mz D Casa 24 - SL</t>
  </si>
  <si>
    <t>VRN</t>
  </si>
  <si>
    <t>Rheem S.A.</t>
  </si>
  <si>
    <t>Ex Ruta 7 Km 790 - SL</t>
  </si>
  <si>
    <t>XPD</t>
  </si>
  <si>
    <t>ELZ</t>
  </si>
  <si>
    <t>Beatriz Taboada</t>
  </si>
  <si>
    <t>Belgrano 912 - SL</t>
  </si>
  <si>
    <t>Martha Rosa Leaplaza</t>
  </si>
  <si>
    <t>Colon 614 Depto 10 B - SL</t>
  </si>
  <si>
    <t>Travel Rock San Luis</t>
  </si>
  <si>
    <t>Ituzaingo 806 1er Piso - SL</t>
  </si>
  <si>
    <t>H472468846</t>
  </si>
  <si>
    <t>H525640290</t>
  </si>
  <si>
    <t>PAS</t>
  </si>
  <si>
    <t>Patricio Ezequiel Bradozza</t>
  </si>
  <si>
    <t>Mitre 638 - SL</t>
  </si>
  <si>
    <t>Martina Aylen Leiva</t>
  </si>
  <si>
    <t>Hector Ariel Leiva - COUNTER SL</t>
  </si>
  <si>
    <t>Guillermo Horacio Pereira - COUNTER SL</t>
  </si>
  <si>
    <t>Carina Alejandra Bertomeu</t>
  </si>
  <si>
    <t>Manuela Pereira Bertomeu</t>
  </si>
  <si>
    <t>Teresita Ana Milan</t>
  </si>
  <si>
    <t>Pablo Galera (NCR SRL)</t>
  </si>
  <si>
    <t>Juan Galera (NCR SRL)</t>
  </si>
  <si>
    <t>AR</t>
  </si>
  <si>
    <t>Loreto Group</t>
  </si>
  <si>
    <t>Multioriginal Parts S.A.</t>
  </si>
  <si>
    <t>BCA</t>
  </si>
  <si>
    <t>Papel Misionero</t>
  </si>
  <si>
    <t>H483295794</t>
  </si>
  <si>
    <t>H483295805</t>
  </si>
  <si>
    <t>1135098</t>
  </si>
  <si>
    <t>Angis S.A.</t>
  </si>
  <si>
    <t>ORD</t>
  </si>
  <si>
    <t>US</t>
  </si>
  <si>
    <t>NIZA S.A.</t>
  </si>
  <si>
    <t>Bolsin P&amp;P</t>
  </si>
  <si>
    <t>IPW</t>
  </si>
  <si>
    <t>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</si>
</sst>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1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165" fontId="29" fillId="3" borderId="12" xfId="1" applyNumberFormat="1" applyFont="1" applyFill="1" applyBorder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16" fontId="28" fillId="3" borderId="11" xfId="1" applyNumberFormat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distributed" shrinkToFit="1"/>
      <protection locked="0"/>
    </xf>
    <xf numFmtId="0" fontId="20" fillId="4" borderId="12" xfId="1" applyFont="1" applyFill="1" applyBorder="1" applyAlignment="1" applyProtection="1">
      <alignment horizontal="center" vertical="distributed" shrinkToFit="1"/>
      <protection locked="0"/>
    </xf>
    <xf numFmtId="0" fontId="27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7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center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A2" sqref="A2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23</v>
      </c>
      <c r="F1" s="22" t="s">
        <v>45</v>
      </c>
      <c r="G1" s="25">
        <v>44827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85.5</v>
      </c>
      <c r="F2" s="22" t="s">
        <v>38</v>
      </c>
      <c r="G2" s="24">
        <v>0.33333333333333331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44826</v>
      </c>
      <c r="H3" s="13"/>
    </row>
    <row r="4" spans="1:9" ht="22.5" x14ac:dyDescent="0.3">
      <c r="A4" s="13" t="s">
        <v>44</v>
      </c>
      <c r="B4" s="13" t="s">
        <v>100</v>
      </c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>
        <v>4277812615</v>
      </c>
      <c r="C6" s="13" t="s">
        <v>102</v>
      </c>
      <c r="D6" s="13" t="s">
        <v>53</v>
      </c>
      <c r="E6" s="13" t="s">
        <v>52</v>
      </c>
      <c r="F6" s="13" t="s">
        <v>103</v>
      </c>
      <c r="G6" s="17" t="s">
        <v>104</v>
      </c>
      <c r="H6" s="13">
        <v>1</v>
      </c>
      <c r="I6" s="13">
        <v>1</v>
      </c>
    </row>
    <row r="7" spans="1:9" ht="22.5" x14ac:dyDescent="0.3">
      <c r="A7" s="20">
        <f t="shared" ref="A7:A20" si="0">A6+1</f>
        <v>2</v>
      </c>
      <c r="B7" s="13">
        <v>4720180452</v>
      </c>
      <c r="C7" s="13" t="s">
        <v>102</v>
      </c>
      <c r="D7" s="13" t="s">
        <v>53</v>
      </c>
      <c r="E7" s="13" t="s">
        <v>52</v>
      </c>
      <c r="F7" s="13" t="s">
        <v>108</v>
      </c>
      <c r="G7" s="13" t="s">
        <v>107</v>
      </c>
      <c r="H7" s="13">
        <v>1</v>
      </c>
      <c r="I7" s="13">
        <v>1</v>
      </c>
    </row>
    <row r="8" spans="1:9" ht="22.5" x14ac:dyDescent="0.3">
      <c r="A8" s="20">
        <f t="shared" si="0"/>
        <v>3</v>
      </c>
      <c r="B8" s="13">
        <v>6462211851</v>
      </c>
      <c r="C8" s="13" t="s">
        <v>102</v>
      </c>
      <c r="D8" s="13" t="s">
        <v>53</v>
      </c>
      <c r="E8" s="13" t="s">
        <v>52</v>
      </c>
      <c r="F8" s="13" t="s">
        <v>110</v>
      </c>
      <c r="G8" s="17" t="s">
        <v>104</v>
      </c>
      <c r="H8" s="13">
        <v>1</v>
      </c>
      <c r="I8" s="13">
        <v>1</v>
      </c>
    </row>
    <row r="9" spans="1:9" ht="22.5" x14ac:dyDescent="0.3">
      <c r="A9" s="20">
        <f t="shared" si="0"/>
        <v>4</v>
      </c>
      <c r="B9" s="13">
        <v>6522933362</v>
      </c>
      <c r="C9" s="13" t="s">
        <v>102</v>
      </c>
      <c r="D9" s="13" t="s">
        <v>53</v>
      </c>
      <c r="E9" s="13" t="s">
        <v>52</v>
      </c>
      <c r="F9" s="13" t="s">
        <v>109</v>
      </c>
      <c r="G9" s="17" t="s">
        <v>107</v>
      </c>
      <c r="H9" s="13">
        <v>1</v>
      </c>
      <c r="I9" s="13">
        <v>1</v>
      </c>
    </row>
    <row r="10" spans="1:9" ht="22.5" x14ac:dyDescent="0.3">
      <c r="A10" s="20">
        <f t="shared" si="0"/>
        <v>5</v>
      </c>
      <c r="B10" s="13">
        <v>9494866172</v>
      </c>
      <c r="C10" s="13" t="s">
        <v>102</v>
      </c>
      <c r="D10" s="13" t="s">
        <v>53</v>
      </c>
      <c r="E10" s="13" t="s">
        <v>52</v>
      </c>
      <c r="F10" s="13" t="s">
        <v>105</v>
      </c>
      <c r="G10" s="17" t="s">
        <v>106</v>
      </c>
      <c r="H10" s="13">
        <v>1</v>
      </c>
      <c r="I10" s="13">
        <v>1</v>
      </c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 t="s">
        <v>101</v>
      </c>
      <c r="C22" s="13"/>
      <c r="D22" s="13"/>
      <c r="E22" s="13"/>
      <c r="F22" s="13"/>
      <c r="G22" s="82" t="s">
        <v>37</v>
      </c>
      <c r="H22" s="13">
        <f>SUM(H6:H21)</f>
        <v>5</v>
      </c>
      <c r="I22" s="13">
        <f>SUM(I6:I21)</f>
        <v>5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1554780835</v>
      </c>
      <c r="C24" s="13" t="s">
        <v>78</v>
      </c>
      <c r="D24" s="13" t="s">
        <v>53</v>
      </c>
      <c r="E24" s="13" t="s">
        <v>52</v>
      </c>
      <c r="F24" s="13" t="s">
        <v>79</v>
      </c>
      <c r="G24" s="13" t="s">
        <v>80</v>
      </c>
      <c r="H24" s="13">
        <v>1</v>
      </c>
      <c r="I24" s="13">
        <v>1</v>
      </c>
    </row>
    <row r="25" spans="1:9" ht="22.5" x14ac:dyDescent="0.3">
      <c r="A25" s="20">
        <f t="shared" si="1"/>
        <v>2</v>
      </c>
      <c r="B25" s="13">
        <v>1659952431</v>
      </c>
      <c r="C25" s="13" t="s">
        <v>78</v>
      </c>
      <c r="D25" s="13" t="s">
        <v>53</v>
      </c>
      <c r="E25" s="13" t="s">
        <v>52</v>
      </c>
      <c r="F25" s="13" t="s">
        <v>98</v>
      </c>
      <c r="G25" s="13" t="s">
        <v>99</v>
      </c>
      <c r="H25" s="13">
        <v>1</v>
      </c>
      <c r="I25" s="13">
        <v>2</v>
      </c>
    </row>
    <row r="26" spans="1:9" s="18" customFormat="1" ht="22.5" x14ac:dyDescent="0.3">
      <c r="A26" s="20">
        <f t="shared" si="1"/>
        <v>3</v>
      </c>
      <c r="B26" s="13">
        <v>1703940895</v>
      </c>
      <c r="C26" s="13" t="s">
        <v>92</v>
      </c>
      <c r="D26" s="13" t="s">
        <v>93</v>
      </c>
      <c r="E26" s="13" t="s">
        <v>52</v>
      </c>
      <c r="F26" s="13" t="s">
        <v>94</v>
      </c>
      <c r="G26" s="13" t="s">
        <v>95</v>
      </c>
      <c r="H26" s="13">
        <v>1</v>
      </c>
      <c r="I26" s="13">
        <v>0.5</v>
      </c>
    </row>
    <row r="27" spans="1:9" s="18" customFormat="1" ht="22.5" x14ac:dyDescent="0.3">
      <c r="A27" s="20">
        <f t="shared" si="1"/>
        <v>4</v>
      </c>
      <c r="B27" s="13">
        <v>1703940932</v>
      </c>
      <c r="C27" s="13" t="s">
        <v>92</v>
      </c>
      <c r="D27" s="13" t="s">
        <v>93</v>
      </c>
      <c r="E27" s="13" t="s">
        <v>52</v>
      </c>
      <c r="F27" s="13" t="s">
        <v>96</v>
      </c>
      <c r="G27" s="13" t="s">
        <v>97</v>
      </c>
      <c r="H27" s="13">
        <v>1</v>
      </c>
      <c r="I27" s="13">
        <v>0.5</v>
      </c>
    </row>
    <row r="28" spans="1:9" ht="22.5" x14ac:dyDescent="0.3">
      <c r="A28" s="20">
        <f t="shared" si="1"/>
        <v>5</v>
      </c>
      <c r="B28" s="13">
        <v>4577713685</v>
      </c>
      <c r="C28" s="13" t="s">
        <v>78</v>
      </c>
      <c r="D28" s="13" t="s">
        <v>53</v>
      </c>
      <c r="E28" s="13" t="s">
        <v>52</v>
      </c>
      <c r="F28" s="13" t="s">
        <v>112</v>
      </c>
      <c r="G28" s="13" t="s">
        <v>104</v>
      </c>
      <c r="H28" s="13">
        <v>1</v>
      </c>
      <c r="I28" s="13">
        <v>2</v>
      </c>
    </row>
    <row r="29" spans="1:9" ht="22.5" x14ac:dyDescent="0.3">
      <c r="A29" s="20">
        <f t="shared" si="1"/>
        <v>6</v>
      </c>
      <c r="B29" s="13">
        <v>4577791470</v>
      </c>
      <c r="C29" s="13" t="s">
        <v>78</v>
      </c>
      <c r="D29" s="13" t="s">
        <v>53</v>
      </c>
      <c r="E29" s="13" t="s">
        <v>52</v>
      </c>
      <c r="F29" s="13" t="s">
        <v>111</v>
      </c>
      <c r="G29" s="13" t="s">
        <v>104</v>
      </c>
      <c r="H29" s="13">
        <v>7</v>
      </c>
      <c r="I29" s="13">
        <v>30</v>
      </c>
    </row>
    <row r="30" spans="1:9" ht="22.5" x14ac:dyDescent="0.3">
      <c r="A30" s="20">
        <f t="shared" si="1"/>
        <v>7</v>
      </c>
      <c r="B30" s="13">
        <v>4577817521</v>
      </c>
      <c r="C30" s="13" t="s">
        <v>78</v>
      </c>
      <c r="D30" s="13" t="s">
        <v>53</v>
      </c>
      <c r="E30" s="13" t="s">
        <v>52</v>
      </c>
      <c r="F30" s="13" t="s">
        <v>111</v>
      </c>
      <c r="G30" s="13" t="s">
        <v>104</v>
      </c>
      <c r="H30" s="13">
        <v>1</v>
      </c>
      <c r="I30" s="13">
        <v>15</v>
      </c>
    </row>
    <row r="31" spans="1:9" ht="22.5" x14ac:dyDescent="0.3">
      <c r="A31" s="20">
        <f t="shared" si="1"/>
        <v>8</v>
      </c>
      <c r="B31" s="13">
        <v>7106057361</v>
      </c>
      <c r="C31" s="13" t="s">
        <v>81</v>
      </c>
      <c r="D31" s="13" t="s">
        <v>82</v>
      </c>
      <c r="E31" s="13" t="s">
        <v>52</v>
      </c>
      <c r="F31" s="13" t="s">
        <v>83</v>
      </c>
      <c r="G31" s="13" t="s">
        <v>84</v>
      </c>
      <c r="H31" s="13">
        <v>1</v>
      </c>
      <c r="I31" s="13">
        <v>10</v>
      </c>
    </row>
    <row r="32" spans="1:9" ht="22.5" x14ac:dyDescent="0.3">
      <c r="A32" s="20">
        <f t="shared" si="1"/>
        <v>9</v>
      </c>
      <c r="B32" s="13">
        <v>7171704750</v>
      </c>
      <c r="C32" s="13" t="s">
        <v>78</v>
      </c>
      <c r="D32" s="13" t="s">
        <v>53</v>
      </c>
      <c r="E32" s="13" t="s">
        <v>52</v>
      </c>
      <c r="F32" s="13" t="s">
        <v>83</v>
      </c>
      <c r="G32" s="13" t="s">
        <v>84</v>
      </c>
      <c r="H32" s="13">
        <v>1</v>
      </c>
      <c r="I32" s="13">
        <v>2</v>
      </c>
    </row>
    <row r="33" spans="1:9" s="18" customFormat="1" ht="22.5" x14ac:dyDescent="0.3">
      <c r="A33" s="20">
        <f t="shared" si="1"/>
        <v>10</v>
      </c>
      <c r="B33" s="13">
        <v>7912127311</v>
      </c>
      <c r="C33" s="13" t="s">
        <v>78</v>
      </c>
      <c r="D33" s="13" t="s">
        <v>53</v>
      </c>
      <c r="E33" s="13" t="s">
        <v>52</v>
      </c>
      <c r="F33" s="13" t="s">
        <v>111</v>
      </c>
      <c r="G33" s="13" t="s">
        <v>104</v>
      </c>
      <c r="H33" s="13">
        <v>1</v>
      </c>
      <c r="I33" s="13">
        <v>15</v>
      </c>
    </row>
    <row r="34" spans="1:9" ht="22.5" x14ac:dyDescent="0.3">
      <c r="A34" s="20">
        <f t="shared" si="1"/>
        <v>11</v>
      </c>
      <c r="B34" s="13">
        <v>8270962862</v>
      </c>
      <c r="C34" s="13" t="s">
        <v>85</v>
      </c>
      <c r="D34" s="13" t="s">
        <v>86</v>
      </c>
      <c r="E34" s="13" t="s">
        <v>52</v>
      </c>
      <c r="F34" s="13" t="s">
        <v>87</v>
      </c>
      <c r="G34" s="13" t="s">
        <v>88</v>
      </c>
      <c r="H34" s="13">
        <v>1</v>
      </c>
      <c r="I34" s="13">
        <v>0.5</v>
      </c>
    </row>
    <row r="35" spans="1:9" ht="22.5" x14ac:dyDescent="0.3">
      <c r="A35" s="20">
        <f t="shared" si="1"/>
        <v>12</v>
      </c>
      <c r="B35" s="13">
        <v>9511009491</v>
      </c>
      <c r="C35" s="13" t="s">
        <v>81</v>
      </c>
      <c r="D35" s="13" t="s">
        <v>89</v>
      </c>
      <c r="E35" s="13" t="s">
        <v>52</v>
      </c>
      <c r="F35" s="13" t="s">
        <v>90</v>
      </c>
      <c r="G35" s="13" t="s">
        <v>91</v>
      </c>
      <c r="H35" s="13">
        <v>1</v>
      </c>
      <c r="I35" s="13">
        <v>2</v>
      </c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18</v>
      </c>
      <c r="I41" s="13">
        <f>SUM(I24:I40)</f>
        <v>80.5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16" sqref="B16:E1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44827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23</v>
      </c>
      <c r="G4" s="26" t="s">
        <v>31</v>
      </c>
      <c r="H4" s="30">
        <f>'Carga de Datos'!E2</f>
        <v>85.5</v>
      </c>
      <c r="I4" s="26" t="s">
        <v>36</v>
      </c>
      <c r="J4" s="29" t="str">
        <f>'Carga de Datos'!B22</f>
        <v>H525640290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44827</v>
      </c>
      <c r="C5" s="28" t="s">
        <v>1</v>
      </c>
      <c r="D5" s="31">
        <f>'Carga de Datos'!G2</f>
        <v>0.33333333333333331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1554780835</v>
      </c>
      <c r="C9" s="9"/>
      <c r="D9" s="9"/>
      <c r="E9" s="10">
        <f>'Carga de Datos'!H24</f>
        <v>1</v>
      </c>
      <c r="F9" s="21">
        <f>'Carga de Datos'!I24</f>
        <v>1</v>
      </c>
      <c r="G9" s="11" t="str">
        <f>'Carga de Datos'!C24</f>
        <v>DOM</v>
      </c>
      <c r="H9" s="4"/>
      <c r="I9" s="4"/>
      <c r="J9" s="9"/>
    </row>
    <row r="10" spans="1:14" x14ac:dyDescent="0.25">
      <c r="A10" s="99"/>
      <c r="B10" s="104" t="str">
        <f>'Carga de Datos'!F24</f>
        <v>Mariana Cordoba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 t="str">
        <f>'Carga de Datos'!G24</f>
        <v>Rivadavia 1383 - SL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customHeight="1" x14ac:dyDescent="0.25">
      <c r="A12" s="8" t="s">
        <v>18</v>
      </c>
      <c r="B12" s="33">
        <f>'Carga de Datos'!B25</f>
        <v>1659952431</v>
      </c>
      <c r="C12" s="9"/>
      <c r="D12" s="9"/>
      <c r="E12" s="10">
        <f>'Carga de Datos'!H25</f>
        <v>1</v>
      </c>
      <c r="F12" s="21">
        <f>'Carga de Datos'!I25</f>
        <v>2</v>
      </c>
      <c r="G12" s="11" t="str">
        <f>'Carga de Datos'!C25</f>
        <v>DOM</v>
      </c>
      <c r="H12" s="4"/>
      <c r="I12" s="4"/>
      <c r="J12" s="9"/>
    </row>
    <row r="13" spans="1:14" ht="15" customHeight="1" x14ac:dyDescent="0.25">
      <c r="A13" s="99"/>
      <c r="B13" s="104" t="str">
        <f>'Carga de Datos'!F25</f>
        <v>Travel Rock San Luis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 t="str">
        <f>'Carga de Datos'!G25</f>
        <v>Ituzaingo 806 1er Piso - SL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Datos'!B26</f>
        <v>1703940895</v>
      </c>
      <c r="C15" s="9"/>
      <c r="D15" s="9"/>
      <c r="E15" s="10">
        <f>'Carga de Datos'!H26</f>
        <v>1</v>
      </c>
      <c r="F15" s="21">
        <f>'Carga de Datos'!I26</f>
        <v>0.5</v>
      </c>
      <c r="G15" s="11" t="str">
        <f>'Carga de Datos'!C26</f>
        <v>XPD</v>
      </c>
      <c r="H15" s="4"/>
      <c r="I15" s="4"/>
      <c r="J15" s="9"/>
    </row>
    <row r="16" spans="1:14" ht="15" customHeight="1" x14ac:dyDescent="0.25">
      <c r="A16" s="99"/>
      <c r="B16" s="104" t="str">
        <f>'Carga de Datos'!F26</f>
        <v>Beatriz Taboada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 t="str">
        <f>'Carga de Datos'!G26</f>
        <v>Belgrano 912 - SL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Datos'!B27</f>
        <v>1703940932</v>
      </c>
      <c r="C18" s="9"/>
      <c r="D18" s="9"/>
      <c r="E18" s="10">
        <f>'Carga de Datos'!H27</f>
        <v>1</v>
      </c>
      <c r="F18" s="21">
        <f>'Carga de Datos'!I27</f>
        <v>0.5</v>
      </c>
      <c r="G18" s="11" t="str">
        <f>'Carga de Datos'!C27</f>
        <v>XPD</v>
      </c>
      <c r="H18" s="4"/>
      <c r="I18" s="4"/>
      <c r="J18" s="9"/>
    </row>
    <row r="19" spans="1:10" ht="15" customHeight="1" x14ac:dyDescent="0.25">
      <c r="A19" s="99"/>
      <c r="B19" s="104" t="str">
        <f>'Carga de Datos'!F27</f>
        <v>Martha Rosa Leaplaza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 t="str">
        <f>'Carga de Datos'!G27</f>
        <v>Colon 614 Depto 10 B - SL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Datos'!B28</f>
        <v>4577713685</v>
      </c>
      <c r="C21" s="9"/>
      <c r="D21" s="9"/>
      <c r="E21" s="10">
        <f>'Carga de Datos'!H28</f>
        <v>1</v>
      </c>
      <c r="F21" s="21">
        <f>'Carga de Datos'!I28</f>
        <v>2</v>
      </c>
      <c r="G21" s="11" t="str">
        <f>'Carga de Datos'!C28</f>
        <v>DOM</v>
      </c>
      <c r="H21" s="4"/>
      <c r="I21" s="4"/>
      <c r="J21" s="9"/>
    </row>
    <row r="22" spans="1:10" ht="15" customHeight="1" x14ac:dyDescent="0.25">
      <c r="A22" s="99"/>
      <c r="B22" s="104" t="str">
        <f>'Carga de Datos'!F28</f>
        <v>Juan Galera (NCR SRL)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 t="str">
        <f>'Carga de Datos'!G28</f>
        <v>Mitre 638 - SL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Datos'!B29</f>
        <v>4577791470</v>
      </c>
      <c r="C24" s="9"/>
      <c r="D24" s="9"/>
      <c r="E24" s="10">
        <f>'Carga de Datos'!H29</f>
        <v>7</v>
      </c>
      <c r="F24" s="21">
        <f>'Carga de Datos'!I29</f>
        <v>30</v>
      </c>
      <c r="G24" s="11" t="str">
        <f>'Carga de Datos'!C29</f>
        <v>DOM</v>
      </c>
      <c r="H24" s="4"/>
      <c r="I24" s="4"/>
      <c r="J24" s="9"/>
    </row>
    <row r="25" spans="1:10" x14ac:dyDescent="0.25">
      <c r="A25" s="99"/>
      <c r="B25" s="104" t="str">
        <f>'Carga de Datos'!F29</f>
        <v>Pablo Galera (NCR SRL)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 t="str">
        <f>'Carga de Datos'!G29</f>
        <v>Mitre 638 - SL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Datos'!B30</f>
        <v>4577817521</v>
      </c>
      <c r="C27" s="9"/>
      <c r="D27" s="9"/>
      <c r="E27" s="10">
        <f>'Carga de Datos'!H30</f>
        <v>1</v>
      </c>
      <c r="F27" s="21">
        <f>'Carga de Datos'!I30</f>
        <v>15</v>
      </c>
      <c r="G27" s="11" t="str">
        <f>'Carga de Datos'!C30</f>
        <v>DOM</v>
      </c>
      <c r="H27" s="4"/>
      <c r="I27" s="4"/>
      <c r="J27" s="9"/>
    </row>
    <row r="28" spans="1:10" x14ac:dyDescent="0.25">
      <c r="A28" s="99"/>
      <c r="B28" s="104" t="str">
        <f>'Carga de Datos'!F30</f>
        <v>Pablo Galera (NCR SRL)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 t="str">
        <f>'Carga de Datos'!G30</f>
        <v>Mitre 638 - SL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Datos'!B31</f>
        <v>7106057361</v>
      </c>
      <c r="C30" s="9"/>
      <c r="D30" s="9"/>
      <c r="E30" s="10">
        <f>'Carga de Datos'!H31</f>
        <v>1</v>
      </c>
      <c r="F30" s="21">
        <f>'Carga de Datos'!I31</f>
        <v>10</v>
      </c>
      <c r="G30" s="11" t="str">
        <f>'Carga de Datos'!C31</f>
        <v>WPX</v>
      </c>
      <c r="H30" s="4"/>
      <c r="I30" s="4"/>
      <c r="J30" s="9"/>
    </row>
    <row r="31" spans="1:10" x14ac:dyDescent="0.25">
      <c r="A31" s="110"/>
      <c r="B31" s="104" t="str">
        <f>'Carga de Datos'!F31</f>
        <v>Colgate Palmolive Argentina S.A.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 t="str">
        <f>'Carga de Datos'!G31</f>
        <v>Calle 5 y 105 - SL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Datos'!B32</f>
        <v>7171704750</v>
      </c>
      <c r="C33" s="9"/>
      <c r="D33" s="9"/>
      <c r="E33" s="10">
        <f>'Carga de Datos'!H32</f>
        <v>1</v>
      </c>
      <c r="F33" s="21">
        <f>'Carga de Datos'!I32</f>
        <v>2</v>
      </c>
      <c r="G33" s="11" t="str">
        <f>'Carga de Datos'!C32</f>
        <v>DOM</v>
      </c>
      <c r="H33" s="4"/>
      <c r="I33" s="4"/>
      <c r="J33" s="9"/>
    </row>
    <row r="34" spans="1:14" x14ac:dyDescent="0.25">
      <c r="A34" s="110"/>
      <c r="B34" s="104" t="str">
        <f>'Carga de Datos'!F32</f>
        <v>Colgate Palmolive Argentina S.A.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 t="str">
        <f>'Carga de Datos'!G32</f>
        <v>Calle 5 y 105 - SL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Datos'!B33</f>
        <v>7912127311</v>
      </c>
      <c r="C36" s="9"/>
      <c r="D36" s="9"/>
      <c r="E36" s="10">
        <f>'Carga de Datos'!H33</f>
        <v>1</v>
      </c>
      <c r="F36" s="21">
        <f>'Carga de Datos'!I33</f>
        <v>15</v>
      </c>
      <c r="G36" s="11" t="str">
        <f>'Carga de Datos'!C33</f>
        <v>DOM</v>
      </c>
      <c r="H36" s="4"/>
      <c r="I36" s="4"/>
      <c r="J36" s="9"/>
    </row>
    <row r="37" spans="1:14" x14ac:dyDescent="0.25">
      <c r="A37" s="110"/>
      <c r="B37" s="104" t="str">
        <f>'Carga de Datos'!F33</f>
        <v>Pablo Galera (NCR SRL)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 t="str">
        <f>'Carga de Datos'!G33</f>
        <v>Mitre 638 - SL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Datos'!B34</f>
        <v>8270962862</v>
      </c>
      <c r="C39" s="9"/>
      <c r="D39" s="9"/>
      <c r="E39" s="10">
        <f>'Carga de Datos'!H34</f>
        <v>1</v>
      </c>
      <c r="F39" s="21">
        <f>'Carga de Datos'!I34</f>
        <v>0.5</v>
      </c>
      <c r="G39" s="11" t="str">
        <f>'Carga de Datos'!C34</f>
        <v>DOX</v>
      </c>
      <c r="H39" s="4"/>
      <c r="I39" s="4"/>
      <c r="J39" s="9"/>
    </row>
    <row r="40" spans="1:14" x14ac:dyDescent="0.25">
      <c r="A40" s="102"/>
      <c r="B40" s="104" t="str">
        <f>'Carga de Datos'!F34</f>
        <v>Fernando Daniel Aiello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 t="str">
        <f>'Carga de Datos'!G34</f>
        <v>B° Los Quebrachos Mz D Casa 24 - SL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Datos'!B35</f>
        <v>9511009491</v>
      </c>
      <c r="C42" s="9"/>
      <c r="D42" s="9"/>
      <c r="E42" s="10">
        <f>'Carga de Datos'!H35</f>
        <v>1</v>
      </c>
      <c r="F42" s="21">
        <f>'Carga de Datos'!I35</f>
        <v>2</v>
      </c>
      <c r="G42" s="11" t="str">
        <f>'Carga de Datos'!C35</f>
        <v>WPX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 t="str">
        <f>'Carga de Datos'!F35</f>
        <v>Rheem S.A.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 t="str">
        <f>'Carga de Datos'!G35</f>
        <v>Ex Ruta 7 Km 790 - SL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02"/>
      <c r="B46" s="104">
        <f>'Carga de Datos'!F36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Datos'!G36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02"/>
      <c r="B49" s="104">
        <f>'Carga de Datos'!F37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Datos'!G37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02"/>
      <c r="B52" s="104">
        <f>'Carga de Datos'!F38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Datos'!G38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02"/>
      <c r="B55" s="104">
        <f>'Carga de Datos'!F39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Datos'!G39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14" t="s">
        <v>43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44827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23</v>
      </c>
      <c r="G4" s="26" t="s">
        <v>31</v>
      </c>
      <c r="H4" s="30">
        <f>'Carga de Datos'!E2</f>
        <v>85.5</v>
      </c>
      <c r="I4" s="26" t="s">
        <v>36</v>
      </c>
      <c r="J4" s="29" t="str">
        <f>'Carga de Datos'!B4</f>
        <v>H472468846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44827</v>
      </c>
      <c r="C5" s="28" t="s">
        <v>1</v>
      </c>
      <c r="D5" s="31">
        <f>'Carga de Datos'!G2</f>
        <v>0.33333333333333331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4277812615</v>
      </c>
      <c r="C9" s="9"/>
      <c r="D9" s="9"/>
      <c r="E9" s="10">
        <f>'Carga de Datos'!H6</f>
        <v>1</v>
      </c>
      <c r="F9" s="21">
        <f>'Carga de Datos'!I6</f>
        <v>1</v>
      </c>
      <c r="G9" s="32" t="str">
        <f>'Carga de Datos'!C6</f>
        <v>PAS</v>
      </c>
      <c r="H9" s="4"/>
      <c r="I9" s="4"/>
      <c r="J9" s="9"/>
    </row>
    <row r="10" spans="1:14" x14ac:dyDescent="0.25">
      <c r="A10" s="99"/>
      <c r="B10" s="104" t="str">
        <f>'Carga de Datos'!F6</f>
        <v>Patricio Ezequiel Bradozza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 t="str">
        <f>'Carga de Datos'!G6</f>
        <v>Mitre 638 - SL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x14ac:dyDescent="0.25">
      <c r="A12" s="8" t="s">
        <v>18</v>
      </c>
      <c r="B12" s="33">
        <f>'Carga de Datos'!B7</f>
        <v>4720180452</v>
      </c>
      <c r="C12" s="9"/>
      <c r="D12" s="9"/>
      <c r="E12" s="10">
        <f>'Carga de Datos'!H7</f>
        <v>1</v>
      </c>
      <c r="F12" s="21">
        <f>'Carga de Datos'!I7</f>
        <v>1</v>
      </c>
      <c r="G12" s="32" t="str">
        <f>'Carga de Datos'!C7</f>
        <v>PAS</v>
      </c>
      <c r="H12" s="4"/>
      <c r="I12" s="4"/>
      <c r="J12" s="9"/>
    </row>
    <row r="13" spans="1:14" ht="15" customHeight="1" x14ac:dyDescent="0.25">
      <c r="A13" s="99"/>
      <c r="B13" s="104" t="str">
        <f>'Carga de Datos'!F7</f>
        <v>Carina Alejandra Bertomeu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 t="str">
        <f>'Carga de Datos'!G7</f>
        <v>Guillermo Horacio Pereira - COUNTER SL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Datos'!B8</f>
        <v>6462211851</v>
      </c>
      <c r="C15" s="9"/>
      <c r="D15" s="9"/>
      <c r="E15" s="10">
        <f>'Carga de Datos'!H8</f>
        <v>1</v>
      </c>
      <c r="F15" s="21">
        <f>'Carga de Datos'!I8</f>
        <v>1</v>
      </c>
      <c r="G15" s="32" t="str">
        <f>'Carga de Datos'!C8</f>
        <v>PAS</v>
      </c>
      <c r="H15" s="4"/>
      <c r="I15" s="4"/>
      <c r="J15" s="9"/>
    </row>
    <row r="16" spans="1:14" ht="15" customHeight="1" x14ac:dyDescent="0.25">
      <c r="A16" s="99"/>
      <c r="B16" s="104" t="str">
        <f>'Carga de Datos'!F8</f>
        <v>Teresita Ana Milan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 t="str">
        <f>'Carga de Datos'!G8</f>
        <v>Mitre 638 - SL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Datos'!B9</f>
        <v>6522933362</v>
      </c>
      <c r="C18" s="9"/>
      <c r="D18" s="9"/>
      <c r="E18" s="10">
        <f>'Carga de Datos'!H9</f>
        <v>1</v>
      </c>
      <c r="F18" s="21">
        <f>'Carga de Datos'!I9</f>
        <v>1</v>
      </c>
      <c r="G18" s="32" t="str">
        <f>'Carga de Datos'!C9</f>
        <v>PAS</v>
      </c>
      <c r="H18" s="4"/>
      <c r="I18" s="4"/>
      <c r="J18" s="9"/>
    </row>
    <row r="19" spans="1:10" ht="15" customHeight="1" x14ac:dyDescent="0.25">
      <c r="A19" s="99"/>
      <c r="B19" s="104" t="str">
        <f>'Carga de Datos'!F9</f>
        <v>Manuela Pereira Bertomeu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 t="str">
        <f>'Carga de Datos'!G9</f>
        <v>Guillermo Horacio Pereira - COUNTER SL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Datos'!B10</f>
        <v>9494866172</v>
      </c>
      <c r="C21" s="9"/>
      <c r="D21" s="9"/>
      <c r="E21" s="10">
        <f>'Carga de Datos'!H10</f>
        <v>1</v>
      </c>
      <c r="F21" s="21">
        <f>'Carga de Datos'!I10</f>
        <v>1</v>
      </c>
      <c r="G21" s="32" t="str">
        <f>'Carga de Datos'!C10</f>
        <v>PAS</v>
      </c>
      <c r="H21" s="4"/>
      <c r="I21" s="4"/>
      <c r="J21" s="9"/>
    </row>
    <row r="22" spans="1:10" ht="15" customHeight="1" x14ac:dyDescent="0.25">
      <c r="A22" s="99"/>
      <c r="B22" s="104" t="str">
        <f>'Carga de Datos'!F10</f>
        <v>Martina Aylen Leiva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 t="str">
        <f>'Carga de Datos'!G10</f>
        <v>Hector Ariel Leiva - COUNTER SL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99"/>
      <c r="B25" s="104">
        <f>'Carga de Datos'!F11</f>
        <v>0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>
        <f>'Carga de Datos'!G11</f>
        <v>0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99"/>
      <c r="B28" s="104">
        <f>'Carga de Datos'!F12</f>
        <v>0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>
        <f>'Carga de Datos'!G12</f>
        <v>0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10"/>
      <c r="B31" s="104">
        <f>'Carga de Datos'!F13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Datos'!G13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10"/>
      <c r="B34" s="104">
        <f>'Carga de Datos'!F14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Datos'!G14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10"/>
      <c r="B37" s="104">
        <f>'Carga de Datos'!F15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Datos'!G15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02"/>
      <c r="B40" s="104">
        <f>'Carga de Datos'!F16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Datos'!G16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Datos'!F17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Datos'!G17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02"/>
      <c r="B46" s="104">
        <f>'Carga de Datos'!F18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Datos'!G18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02"/>
      <c r="B49" s="104">
        <f>'Carga de Datos'!F19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Datos'!G19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02"/>
      <c r="B52" s="104">
        <f>'Carga de Datos'!F20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Datos'!G20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02"/>
      <c r="B55" s="104">
        <f>'Carga de Datos'!F21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Datos'!G21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topLeftCell="A2" zoomScale="68" zoomScaleNormal="68" zoomScaleSheetLayoutView="85" workbookViewId="0">
      <selection activeCell="F39" sqref="F39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19" t="s">
        <v>48</v>
      </c>
      <c r="D2" s="119"/>
      <c r="E2" s="119"/>
      <c r="F2" s="119"/>
      <c r="G2" s="119"/>
      <c r="H2" s="119"/>
      <c r="J2" s="39"/>
    </row>
    <row r="3" spans="1:17" ht="21" thickBot="1" x14ac:dyDescent="0.35">
      <c r="A3" s="38"/>
      <c r="H3" s="40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20"/>
      <c r="H4" s="121"/>
      <c r="I4" s="98">
        <f>'Carga de Datos'!G1</f>
        <v>44827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22" t="s">
        <v>49</v>
      </c>
      <c r="E6" s="123"/>
      <c r="F6" s="41"/>
      <c r="G6" s="41"/>
      <c r="H6" s="124" t="s">
        <v>76</v>
      </c>
      <c r="I6" s="123"/>
      <c r="J6" s="39"/>
    </row>
    <row r="7" spans="1:17" s="48" customFormat="1" ht="27" customHeight="1" thickBot="1" x14ac:dyDescent="0.3">
      <c r="A7" s="44"/>
      <c r="B7" s="170" t="s">
        <v>120</v>
      </c>
      <c r="C7" s="45"/>
      <c r="D7" s="125">
        <f>G59</f>
        <v>71.5</v>
      </c>
      <c r="E7" s="126"/>
      <c r="F7" s="46"/>
      <c r="G7" s="45"/>
      <c r="H7" s="125">
        <v>1</v>
      </c>
      <c r="I7" s="126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22" t="s">
        <v>75</v>
      </c>
      <c r="I8" s="123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25">
        <v>5</v>
      </c>
      <c r="I9" s="127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28" t="s">
        <v>51</v>
      </c>
      <c r="F10" s="129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30" t="s">
        <v>53</v>
      </c>
      <c r="F11" s="131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32"/>
      <c r="E13" s="133"/>
      <c r="F13" s="134"/>
      <c r="G13" s="41"/>
      <c r="H13" s="135"/>
      <c r="I13" s="134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36">
        <f>I4+1</f>
        <v>44828</v>
      </c>
      <c r="E14" s="137"/>
      <c r="F14" s="138"/>
      <c r="G14" s="45"/>
      <c r="H14" s="139"/>
      <c r="I14" s="140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41"/>
      <c r="C16" s="142"/>
      <c r="D16" s="142"/>
      <c r="E16" s="142"/>
      <c r="F16" s="142"/>
      <c r="G16" s="142"/>
      <c r="H16" s="142"/>
      <c r="I16" s="143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44" t="s">
        <v>56</v>
      </c>
      <c r="F17" s="144"/>
      <c r="G17" s="144"/>
      <c r="H17" s="144"/>
      <c r="I17" s="145"/>
      <c r="J17" s="39"/>
    </row>
    <row r="18" spans="1:10" ht="24.75" customHeight="1" thickBot="1" x14ac:dyDescent="0.3">
      <c r="A18" s="38"/>
      <c r="B18" s="64" t="s">
        <v>57</v>
      </c>
      <c r="C18" s="65">
        <v>1</v>
      </c>
      <c r="D18" s="66">
        <v>1</v>
      </c>
      <c r="E18" s="146"/>
      <c r="F18" s="146"/>
      <c r="G18" s="146"/>
      <c r="H18" s="147"/>
      <c r="I18" s="148"/>
      <c r="J18" s="39"/>
    </row>
    <row r="19" spans="1:10" ht="24.75" customHeight="1" thickBot="1" x14ac:dyDescent="0.3">
      <c r="A19" s="38"/>
      <c r="B19" s="64" t="s">
        <v>58</v>
      </c>
      <c r="C19" s="65">
        <v>2</v>
      </c>
      <c r="D19" s="66">
        <v>2</v>
      </c>
      <c r="E19" s="146"/>
      <c r="F19" s="146"/>
      <c r="G19" s="146"/>
      <c r="H19" s="147"/>
      <c r="I19" s="148"/>
      <c r="J19" s="39"/>
    </row>
    <row r="20" spans="1:10" ht="24.75" customHeight="1" thickBot="1" x14ac:dyDescent="0.3">
      <c r="A20" s="38"/>
      <c r="B20" s="64" t="s">
        <v>59</v>
      </c>
      <c r="C20" s="65">
        <v>5</v>
      </c>
      <c r="D20" s="66">
        <v>7</v>
      </c>
      <c r="E20" s="149"/>
      <c r="F20" s="150"/>
      <c r="G20" s="150"/>
      <c r="H20" s="151"/>
      <c r="I20" s="152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46"/>
      <c r="F21" s="146"/>
      <c r="G21" s="146"/>
      <c r="H21" s="147"/>
      <c r="I21" s="148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46"/>
      <c r="F22" s="146"/>
      <c r="G22" s="146"/>
      <c r="H22" s="147"/>
      <c r="I22" s="148"/>
      <c r="J22" s="39"/>
    </row>
    <row r="23" spans="1:10" ht="19.5" customHeight="1" thickBot="1" x14ac:dyDescent="0.3">
      <c r="A23" s="38"/>
      <c r="B23" s="64" t="s">
        <v>62</v>
      </c>
      <c r="C23" s="65"/>
      <c r="D23" s="66">
        <v>1</v>
      </c>
      <c r="E23" s="155" t="s">
        <v>125</v>
      </c>
      <c r="F23" s="156"/>
      <c r="G23" s="156"/>
      <c r="H23" s="156"/>
      <c r="I23" s="157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55"/>
      <c r="F24" s="156"/>
      <c r="G24" s="156"/>
      <c r="H24" s="156"/>
      <c r="I24" s="157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58" t="s">
        <v>65</v>
      </c>
      <c r="D26" s="158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59" t="s">
        <v>118</v>
      </c>
      <c r="J27" s="160"/>
    </row>
    <row r="28" spans="1:10" ht="15" customHeight="1" x14ac:dyDescent="0.25">
      <c r="A28" s="38"/>
      <c r="B28" s="73">
        <v>8746932460</v>
      </c>
      <c r="C28" s="153" t="s">
        <v>117</v>
      </c>
      <c r="D28" s="154"/>
      <c r="E28" s="74" t="s">
        <v>78</v>
      </c>
      <c r="F28" s="74" t="s">
        <v>53</v>
      </c>
      <c r="G28" s="74">
        <v>5</v>
      </c>
      <c r="H28" s="74">
        <v>1</v>
      </c>
      <c r="I28" s="92" t="s">
        <v>113</v>
      </c>
      <c r="J28" s="39"/>
    </row>
    <row r="29" spans="1:10" ht="15" customHeight="1" x14ac:dyDescent="0.25">
      <c r="A29" s="38"/>
      <c r="B29" s="76">
        <v>4601244642</v>
      </c>
      <c r="C29" s="153" t="s">
        <v>114</v>
      </c>
      <c r="D29" s="154"/>
      <c r="E29" s="74" t="s">
        <v>78</v>
      </c>
      <c r="F29" s="74" t="s">
        <v>53</v>
      </c>
      <c r="G29" s="74">
        <v>0.5</v>
      </c>
      <c r="H29" s="74">
        <v>1</v>
      </c>
      <c r="I29" s="75" t="s">
        <v>113</v>
      </c>
      <c r="J29" s="39"/>
    </row>
    <row r="30" spans="1:10" ht="15" customHeight="1" x14ac:dyDescent="0.25">
      <c r="A30" s="38"/>
      <c r="B30" s="76">
        <v>6308391806</v>
      </c>
      <c r="C30" s="153" t="s">
        <v>115</v>
      </c>
      <c r="D30" s="154"/>
      <c r="E30" s="74" t="s">
        <v>78</v>
      </c>
      <c r="F30" s="74" t="s">
        <v>116</v>
      </c>
      <c r="G30" s="74">
        <v>0.5</v>
      </c>
      <c r="H30" s="74">
        <v>1</v>
      </c>
      <c r="I30" s="75" t="s">
        <v>113</v>
      </c>
      <c r="J30" s="39"/>
    </row>
    <row r="31" spans="1:10" ht="15" customHeight="1" x14ac:dyDescent="0.25">
      <c r="A31" s="38"/>
      <c r="B31" s="76">
        <v>4588369822</v>
      </c>
      <c r="C31" s="153" t="s">
        <v>124</v>
      </c>
      <c r="D31" s="154"/>
      <c r="E31" s="74" t="s">
        <v>81</v>
      </c>
      <c r="F31" s="74" t="s">
        <v>126</v>
      </c>
      <c r="G31" s="74">
        <v>0.5</v>
      </c>
      <c r="H31" s="74">
        <v>1</v>
      </c>
      <c r="I31" s="75" t="s">
        <v>127</v>
      </c>
      <c r="J31" s="90"/>
    </row>
    <row r="32" spans="1:10" ht="15" customHeight="1" x14ac:dyDescent="0.25">
      <c r="A32" s="38"/>
      <c r="B32" s="76"/>
      <c r="C32" s="153"/>
      <c r="D32" s="154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53"/>
      <c r="D33" s="154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53"/>
      <c r="D34" s="154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67" t="s">
        <v>75</v>
      </c>
      <c r="D35" s="168"/>
      <c r="E35" s="74"/>
      <c r="F35" s="74"/>
      <c r="G35" s="74"/>
      <c r="H35" s="74"/>
      <c r="I35" s="94" t="s">
        <v>119</v>
      </c>
      <c r="J35" s="39"/>
    </row>
    <row r="36" spans="1:10" ht="15" customHeight="1" x14ac:dyDescent="0.25">
      <c r="A36" s="38"/>
      <c r="B36" s="76">
        <v>8747085130</v>
      </c>
      <c r="C36" s="153" t="s">
        <v>121</v>
      </c>
      <c r="D36" s="154"/>
      <c r="E36" s="74" t="s">
        <v>81</v>
      </c>
      <c r="F36" s="74" t="s">
        <v>122</v>
      </c>
      <c r="G36" s="74">
        <v>25</v>
      </c>
      <c r="H36" s="74">
        <v>1</v>
      </c>
      <c r="I36" s="75" t="s">
        <v>123</v>
      </c>
      <c r="J36" s="39"/>
    </row>
    <row r="37" spans="1:10" ht="15" customHeight="1" x14ac:dyDescent="0.25">
      <c r="A37" s="38"/>
      <c r="B37" s="76">
        <v>5135186792</v>
      </c>
      <c r="C37" s="153" t="s">
        <v>111</v>
      </c>
      <c r="D37" s="154"/>
      <c r="E37" s="74" t="s">
        <v>78</v>
      </c>
      <c r="F37" s="74" t="s">
        <v>53</v>
      </c>
      <c r="G37" s="74">
        <v>20</v>
      </c>
      <c r="H37" s="74">
        <v>2</v>
      </c>
      <c r="I37" s="75" t="s">
        <v>113</v>
      </c>
      <c r="J37" s="90"/>
    </row>
    <row r="38" spans="1:10" ht="15" customHeight="1" x14ac:dyDescent="0.25">
      <c r="A38" s="38"/>
      <c r="B38" s="76">
        <v>5135182080</v>
      </c>
      <c r="C38" s="153" t="s">
        <v>111</v>
      </c>
      <c r="D38" s="154"/>
      <c r="E38" s="74" t="s">
        <v>78</v>
      </c>
      <c r="F38" s="74" t="s">
        <v>53</v>
      </c>
      <c r="G38" s="74">
        <v>20</v>
      </c>
      <c r="H38" s="74">
        <v>2</v>
      </c>
      <c r="I38" s="75" t="s">
        <v>113</v>
      </c>
      <c r="J38" s="39"/>
    </row>
    <row r="39" spans="1:10" ht="15" customHeight="1" x14ac:dyDescent="0.25">
      <c r="A39" s="38"/>
      <c r="B39" s="76"/>
      <c r="C39" s="153"/>
      <c r="D39" s="154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53"/>
      <c r="D40" s="154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53"/>
      <c r="D41" s="154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53"/>
      <c r="D42" s="154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53"/>
      <c r="D43" s="154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53"/>
      <c r="D44" s="154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53"/>
      <c r="D45" s="154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53"/>
      <c r="D46" s="154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53"/>
      <c r="D47" s="154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53"/>
      <c r="D48" s="154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53"/>
      <c r="D49" s="154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53"/>
      <c r="D50" s="154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53"/>
      <c r="D51" s="154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53"/>
      <c r="D52" s="154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53"/>
      <c r="D53" s="154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53"/>
      <c r="D54" s="154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53"/>
      <c r="D55" s="154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53"/>
      <c r="D56" s="154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53"/>
      <c r="D57" s="154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69"/>
      <c r="D58" s="169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61" t="s">
        <v>70</v>
      </c>
      <c r="D59" s="161"/>
      <c r="E59" s="89"/>
      <c r="F59" s="89"/>
      <c r="G59" s="89">
        <f>SUM(G28:G58)</f>
        <v>71.5</v>
      </c>
      <c r="H59" s="89">
        <f>SUM(H28:H58)</f>
        <v>9</v>
      </c>
      <c r="I59" s="87"/>
      <c r="J59" s="39"/>
    </row>
    <row r="60" spans="1:10" ht="15" customHeight="1" x14ac:dyDescent="0.2">
      <c r="A60" s="38"/>
      <c r="B60" s="73"/>
      <c r="C60" s="161"/>
      <c r="D60" s="161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62" t="s">
        <v>71</v>
      </c>
      <c r="C61" s="163"/>
      <c r="D61" s="163"/>
      <c r="E61" s="163"/>
      <c r="F61" s="163"/>
      <c r="G61" s="163"/>
      <c r="H61" s="163"/>
      <c r="I61" s="164"/>
      <c r="J61" s="39"/>
    </row>
    <row r="62" spans="1:10" ht="15" customHeight="1" x14ac:dyDescent="0.2">
      <c r="A62" s="38"/>
      <c r="B62" s="73"/>
      <c r="C62" s="165"/>
      <c r="D62" s="166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61"/>
      <c r="D63" s="161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61"/>
      <c r="D64" s="161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61"/>
      <c r="D65" s="161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61"/>
      <c r="D66" s="161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61"/>
      <c r="D67" s="161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61"/>
      <c r="D68" s="161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61"/>
      <c r="D69" s="161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69:D69"/>
    <mergeCell ref="B61:I61"/>
    <mergeCell ref="C62:D62"/>
    <mergeCell ref="C63:D63"/>
    <mergeCell ref="C64:D64"/>
    <mergeCell ref="C65:D65"/>
    <mergeCell ref="C66:D66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E19:G19"/>
    <mergeCell ref="H19:I19"/>
    <mergeCell ref="E20:G20"/>
    <mergeCell ref="H20:I20"/>
    <mergeCell ref="E21:G21"/>
    <mergeCell ref="H21:I21"/>
    <mergeCell ref="D14:F14"/>
    <mergeCell ref="H14:I14"/>
    <mergeCell ref="B16:I16"/>
    <mergeCell ref="E17:I17"/>
    <mergeCell ref="E18:G18"/>
    <mergeCell ref="H18:I18"/>
    <mergeCell ref="H8:I8"/>
    <mergeCell ref="H9:I9"/>
    <mergeCell ref="E10:F10"/>
    <mergeCell ref="E11:F11"/>
    <mergeCell ref="D13:F13"/>
    <mergeCell ref="H13:I13"/>
    <mergeCell ref="C2:H2"/>
    <mergeCell ref="G4:H4"/>
    <mergeCell ref="D6:E6"/>
    <mergeCell ref="H6:I6"/>
    <mergeCell ref="D7:E7"/>
    <mergeCell ref="H7:I7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2022-09-23T18:44:20Z</cp:lastPrinted>
  <dcterms:created xsi:type="dcterms:W3CDTF">2016-08-11T13:59:12Z</dcterms:created>
  <dcterms:modified xsi:type="dcterms:W3CDTF">2022-09-23T19:13:49Z</dcterms:modified>
</cp:coreProperties>
</file>