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43098A86-3CB7-4CAD-B07C-B0520EA7F121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<sst xmlns="http://schemas.openxmlformats.org/spreadsheetml/2006/main" count="178" uniqueCount="100">
  <si>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</si>
  <si>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</si>
  <si>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</si>
  <si>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</si>
  <si>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</si>
  <si>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</si>
  <si>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</si>
  <si>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</si>
  <si>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</si>
  <si>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</si>
  <si>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</si>
  <si>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</si>
  <si>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</si>
  <si>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</si>
  <si>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</si>
  <si>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</si>
  <si>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</si>
  <si>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</si>
  <si>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</si>
  <si>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</si>
  <si>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</si>
  <si>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</si>
  <si>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</si>
  <si>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</si>
  <si>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</si>
  <si>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</si>
  <si>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</si>
  <si>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</si>
  <si>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</si>
  <si>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</si>
  <si>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</si>
  <si>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</si>
  <si>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</si>
  <si>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</si>
  <si>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</si>
  <si>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</si>
  <si>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</si>
  <si>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</si>
  <si>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</si>
  <si>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</si>
  <si>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</si>
  <si>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</si>
  <si>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</si>
  <si>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</si>
  <si>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</si>
  <si>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</si>
  <si>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</si>
  <si>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</si>
  <si>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</si>
  <si>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</si>
  <si>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</si>
  <si>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</si>
  <si>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</si>
  <si>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</si>
  <si>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</si>
  <si>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</si>
  <si>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</si>
  <si>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</si>
  <si>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</si>
  <si>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</si>
  <si>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</si>
  <si>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</si>
  <si>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</si>
  <si>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</si>
  <si>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</si>
  <si>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</si>
  <si>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</si>
  <si>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</si>
  <si>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</si>
  <si>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</si>
  <si>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</si>
  <si>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</si>
  <si>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</si>
  <si>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</si>
  <si>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</si>
  <si>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</si>
  <si>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</si>
  <si>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</si>
  <si>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</si>
  <si>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BHI</t>
  </si>
  <si>
    <t>Lallemant 1370 B° San Cayetano - SL</t>
  </si>
  <si>
    <t>Beatriz Heredia</t>
  </si>
  <si>
    <t>Jesus Rafael Alejandrino</t>
  </si>
  <si>
    <t>Leandro N. Alem 1733 - SL</t>
  </si>
  <si>
    <t>XED</t>
  </si>
  <si>
    <t>LIM</t>
  </si>
  <si>
    <t>María Gabriela Ciccarone</t>
  </si>
  <si>
    <t>Pringles 790 - SL</t>
  </si>
  <si>
    <t>Gustavo Escudero (NCR SRL)</t>
  </si>
  <si>
    <t>Mitre 638 - SL</t>
  </si>
  <si>
    <t>Juan Galera (NCR SRL)</t>
  </si>
  <si>
    <t>1088791</t>
  </si>
  <si>
    <t>H483295680</t>
  </si>
  <si>
    <t>Miguel Angel Loreto Vasquez</t>
  </si>
  <si>
    <t>AR</t>
  </si>
  <si>
    <t>NIZA S.A.</t>
  </si>
  <si>
    <t>WPX</t>
  </si>
  <si>
    <t>MEL</t>
  </si>
  <si>
    <t>AU</t>
  </si>
  <si>
    <t>H483295691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</si>
</sst>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F34" sqref="F34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5</v>
      </c>
      <c r="F1" s="22" t="s">
        <v>45</v>
      </c>
      <c r="G1" s="25">
        <v>44820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8.5</v>
      </c>
      <c r="F2" s="22" t="s">
        <v>38</v>
      </c>
      <c r="G2" s="24">
        <v>0.44444444444444442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44819</v>
      </c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1296299336</v>
      </c>
      <c r="C24" s="13" t="s">
        <v>78</v>
      </c>
      <c r="D24" s="13" t="s">
        <v>53</v>
      </c>
      <c r="E24" s="13" t="s">
        <v>52</v>
      </c>
      <c r="F24" s="13" t="s">
        <v>88</v>
      </c>
      <c r="G24" s="13" t="s">
        <v>89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1438587010</v>
      </c>
      <c r="C25" s="13" t="s">
        <v>78</v>
      </c>
      <c r="D25" s="13" t="s">
        <v>79</v>
      </c>
      <c r="E25" s="13" t="s">
        <v>52</v>
      </c>
      <c r="F25" s="13" t="s">
        <v>81</v>
      </c>
      <c r="G25" s="13" t="s">
        <v>80</v>
      </c>
      <c r="H25" s="13">
        <v>1</v>
      </c>
      <c r="I25" s="13">
        <v>0.5</v>
      </c>
    </row>
    <row r="26" spans="1:9" s="18" customFormat="1" ht="22.5" x14ac:dyDescent="0.3">
      <c r="A26" s="20">
        <f t="shared" si="1"/>
        <v>3</v>
      </c>
      <c r="B26" s="13">
        <v>2762324574</v>
      </c>
      <c r="C26" s="13" t="s">
        <v>84</v>
      </c>
      <c r="D26" s="13" t="s">
        <v>85</v>
      </c>
      <c r="E26" s="13" t="s">
        <v>52</v>
      </c>
      <c r="F26" s="13" t="s">
        <v>86</v>
      </c>
      <c r="G26" s="13" t="s">
        <v>87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>
        <v>6093443930</v>
      </c>
      <c r="C27" s="13" t="s">
        <v>78</v>
      </c>
      <c r="D27" s="13" t="s">
        <v>53</v>
      </c>
      <c r="E27" s="13" t="s">
        <v>52</v>
      </c>
      <c r="F27" s="13" t="s">
        <v>90</v>
      </c>
      <c r="G27" s="13" t="s">
        <v>89</v>
      </c>
      <c r="H27" s="13">
        <v>1</v>
      </c>
      <c r="I27" s="13">
        <v>5</v>
      </c>
    </row>
    <row r="28" spans="1:9" ht="22.5" x14ac:dyDescent="0.3">
      <c r="A28" s="20">
        <f t="shared" si="1"/>
        <v>5</v>
      </c>
      <c r="B28" s="13">
        <v>6093536304</v>
      </c>
      <c r="C28" s="13" t="s">
        <v>78</v>
      </c>
      <c r="D28" s="13" t="s">
        <v>53</v>
      </c>
      <c r="E28" s="13" t="s">
        <v>52</v>
      </c>
      <c r="F28" s="13" t="s">
        <v>82</v>
      </c>
      <c r="G28" s="13" t="s">
        <v>83</v>
      </c>
      <c r="H28" s="13">
        <v>1</v>
      </c>
      <c r="I28" s="13">
        <v>0.5</v>
      </c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5</v>
      </c>
      <c r="I41" s="13">
        <f>SUM(I24:I40)</f>
        <v>8.5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44820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5</v>
      </c>
      <c r="G4" s="26" t="s">
        <v>31</v>
      </c>
      <c r="H4" s="30">
        <f>'Carga de Datos'!E2</f>
        <v>8.5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44820</v>
      </c>
      <c r="C5" s="28" t="s">
        <v>1</v>
      </c>
      <c r="D5" s="31">
        <f>'Carga de Datos'!G2</f>
        <v>0.44444444444444442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1296299336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Gustavo Escudero (NCR SRL)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Mitre 638 -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1438587010</v>
      </c>
      <c r="C12" s="9"/>
      <c r="D12" s="9"/>
      <c r="E12" s="10">
        <f>'Carga de Datos'!H25</f>
        <v>1</v>
      </c>
      <c r="F12" s="21">
        <f>'Carga de Datos'!I25</f>
        <v>0.5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Beatriz Heredia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Lallemant 1370 B° San Cayetano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2762324574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XED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María Gabriela Ciccarone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Pringles 790 -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6093443930</v>
      </c>
      <c r="C18" s="9"/>
      <c r="D18" s="9"/>
      <c r="E18" s="10">
        <f>'Carga de Datos'!H27</f>
        <v>1</v>
      </c>
      <c r="F18" s="21">
        <f>'Carga de Datos'!I27</f>
        <v>5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Juan Galera (NCR SRL)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Mitre 638 -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6093536304</v>
      </c>
      <c r="C21" s="9"/>
      <c r="D21" s="9"/>
      <c r="E21" s="10">
        <f>'Carga de Datos'!H28</f>
        <v>1</v>
      </c>
      <c r="F21" s="21">
        <f>'Carga de Datos'!I28</f>
        <v>0.5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Jesus Rafael Alejandrino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Leandro N. Alem 1733 -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44820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5</v>
      </c>
      <c r="G4" s="26" t="s">
        <v>31</v>
      </c>
      <c r="H4" s="30">
        <f>'Carga de Datos'!E2</f>
        <v>8.5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44820</v>
      </c>
      <c r="C5" s="28" t="s">
        <v>1</v>
      </c>
      <c r="D5" s="31">
        <f>'Carga de Datos'!G2</f>
        <v>0.44444444444444442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99"/>
      <c r="B10" s="104">
        <f>'Carga de Datos'!F6</f>
        <v>0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>
        <f>'Carga de Datos'!G6</f>
        <v>0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D20" sqref="D20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44820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91</v>
      </c>
      <c r="C7" s="45"/>
      <c r="D7" s="125">
        <f>G59</f>
        <v>55.5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4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44821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4</v>
      </c>
      <c r="D20" s="66">
        <v>9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55"/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92</v>
      </c>
      <c r="J27" s="160"/>
    </row>
    <row r="28" spans="1:10" ht="15" customHeight="1" x14ac:dyDescent="0.25">
      <c r="A28" s="38"/>
      <c r="B28" s="73">
        <v>7901467980</v>
      </c>
      <c r="C28" s="153" t="s">
        <v>93</v>
      </c>
      <c r="D28" s="154"/>
      <c r="E28" s="74" t="s">
        <v>78</v>
      </c>
      <c r="F28" s="74" t="s">
        <v>53</v>
      </c>
      <c r="G28" s="74">
        <v>0.5</v>
      </c>
      <c r="H28" s="74">
        <v>1</v>
      </c>
      <c r="I28" s="92" t="s">
        <v>94</v>
      </c>
      <c r="J28" s="39"/>
    </row>
    <row r="29" spans="1:10" ht="15" customHeight="1" x14ac:dyDescent="0.25">
      <c r="A29" s="38"/>
      <c r="B29" s="76">
        <v>5262349105</v>
      </c>
      <c r="C29" s="153" t="s">
        <v>90</v>
      </c>
      <c r="D29" s="154"/>
      <c r="E29" s="74" t="s">
        <v>78</v>
      </c>
      <c r="F29" s="74" t="s">
        <v>53</v>
      </c>
      <c r="G29" s="74">
        <v>4</v>
      </c>
      <c r="H29" s="74">
        <v>1</v>
      </c>
      <c r="I29" s="92" t="s">
        <v>94</v>
      </c>
      <c r="J29" s="39"/>
    </row>
    <row r="30" spans="1:10" ht="15" customHeight="1" x14ac:dyDescent="0.25">
      <c r="A30" s="38"/>
      <c r="B30" s="76">
        <v>9768590602</v>
      </c>
      <c r="C30" s="153" t="s">
        <v>90</v>
      </c>
      <c r="D30" s="154"/>
      <c r="E30" s="74" t="s">
        <v>78</v>
      </c>
      <c r="F30" s="74" t="s">
        <v>53</v>
      </c>
      <c r="G30" s="74">
        <v>4</v>
      </c>
      <c r="H30" s="74">
        <v>1</v>
      </c>
      <c r="I30" s="92" t="s">
        <v>94</v>
      </c>
      <c r="J30" s="39"/>
    </row>
    <row r="31" spans="1:10" ht="15" customHeight="1" x14ac:dyDescent="0.25">
      <c r="A31" s="38"/>
      <c r="B31" s="76">
        <v>4075125331</v>
      </c>
      <c r="C31" s="153" t="s">
        <v>95</v>
      </c>
      <c r="D31" s="154"/>
      <c r="E31" s="74" t="s">
        <v>96</v>
      </c>
      <c r="F31" s="74" t="s">
        <v>97</v>
      </c>
      <c r="G31" s="74">
        <v>1</v>
      </c>
      <c r="H31" s="74">
        <v>1</v>
      </c>
      <c r="I31" s="75" t="s">
        <v>98</v>
      </c>
      <c r="J31" s="90"/>
    </row>
    <row r="32" spans="1:10" ht="15" customHeight="1" x14ac:dyDescent="0.25">
      <c r="A32" s="38"/>
      <c r="B32" s="76">
        <v>9768587743</v>
      </c>
      <c r="C32" s="153" t="s">
        <v>88</v>
      </c>
      <c r="D32" s="154"/>
      <c r="E32" s="74" t="s">
        <v>78</v>
      </c>
      <c r="F32" s="74" t="s">
        <v>53</v>
      </c>
      <c r="G32" s="74">
        <v>6</v>
      </c>
      <c r="H32" s="74">
        <v>2</v>
      </c>
      <c r="I32" s="75" t="s">
        <v>94</v>
      </c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99</v>
      </c>
      <c r="J35" s="39"/>
    </row>
    <row r="36" spans="1:10" ht="15" customHeight="1" x14ac:dyDescent="0.25">
      <c r="A36" s="38"/>
      <c r="B36" s="76">
        <v>9768587743</v>
      </c>
      <c r="C36" s="153" t="s">
        <v>88</v>
      </c>
      <c r="D36" s="154"/>
      <c r="E36" s="74" t="s">
        <v>78</v>
      </c>
      <c r="F36" s="74" t="s">
        <v>53</v>
      </c>
      <c r="G36" s="74">
        <v>40</v>
      </c>
      <c r="H36" s="74">
        <v>4</v>
      </c>
      <c r="I36" s="75" t="s">
        <v>94</v>
      </c>
      <c r="J36" s="39"/>
    </row>
    <row r="37" spans="1:10" ht="15" customHeight="1" x14ac:dyDescent="0.25">
      <c r="A37" s="38"/>
      <c r="B37" s="76"/>
      <c r="C37" s="153"/>
      <c r="D37" s="154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55.5</v>
      </c>
      <c r="H59" s="89">
        <f>SUM(H28:H58)</f>
        <v>10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2022-09-16T17:49:28Z</cp:lastPrinted>
  <dcterms:created xsi:type="dcterms:W3CDTF">2016-08-11T13:59:12Z</dcterms:created>
  <dcterms:modified xsi:type="dcterms:W3CDTF">2022-09-16T17:53:46Z</dcterms:modified>
</cp:coreProperties>
</file>