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8_{5E59D105-5735-4366-B81B-9F146EBC898A}" xr6:coauthVersionLast="47" xr6:coauthVersionMax="47" xr10:uidLastSave="{00000000-0000-0000-0000-000000000000}"/>
  <bookViews>
    <workbookView xWindow="-120" yWindow="-120" windowWidth="19440" windowHeight="15000" activeTab="1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<sst xmlns="http://schemas.openxmlformats.org/spreadsheetml/2006/main" count="155" uniqueCount="97">
  <si>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</si>
  <si>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</si>
  <si>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</si>
  <si>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</si>
  <si>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</si>
  <si>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</si>
  <si>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</si>
  <si>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</si>
  <si>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</si>
  <si>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</si>
  <si>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</si>
  <si>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</si>
  <si>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</si>
  <si>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</si>
  <si>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</si>
  <si>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</si>
  <si>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</si>
  <si>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</si>
  <si>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</si>
  <si>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</si>
  <si>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</si>
  <si>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</si>
  <si>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</si>
  <si>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</si>
  <si>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</si>
  <si>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</si>
  <si>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</si>
  <si>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</si>
  <si>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</si>
  <si>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</si>
  <si>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</si>
  <si>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</si>
  <si>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</si>
  <si>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</si>
  <si>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</si>
  <si>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</si>
  <si>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</si>
  <si>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</si>
  <si>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</si>
  <si>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</si>
  <si>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</si>
  <si>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</si>
  <si>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</si>
  <si>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</si>
  <si>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</si>
  <si>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</si>
  <si>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</si>
  <si>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</si>
  <si>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</si>
  <si>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</si>
  <si>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</si>
  <si>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</si>
  <si>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</si>
  <si>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</si>
  <si>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</si>
  <si>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</si>
  <si>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</si>
  <si>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</si>
  <si>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</si>
  <si>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</si>
  <si>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</si>
  <si>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</si>
  <si>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</si>
  <si>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</si>
  <si>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</si>
  <si>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</si>
  <si>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</si>
  <si>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</si>
  <si>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</si>
  <si>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</si>
  <si>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</si>
  <si>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</si>
  <si>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</si>
  <si>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</si>
  <si>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</si>
  <si>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</si>
  <si>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</si>
  <si>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</si>
  <si>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WPX</t>
  </si>
  <si>
    <t>CLO</t>
  </si>
  <si>
    <t>Colgate Palmolive Argentina S.A.</t>
  </si>
  <si>
    <t>Calle 5 y 105 - SL</t>
  </si>
  <si>
    <t>BCN</t>
  </si>
  <si>
    <t>Miguel Angel Berardo</t>
  </si>
  <si>
    <t>Av. Lafinur 924 - SL</t>
  </si>
  <si>
    <t>XPD</t>
  </si>
  <si>
    <t>BSL</t>
  </si>
  <si>
    <t>Arcor SAIC</t>
  </si>
  <si>
    <t>Calle 113 entre 1 y 3 - SL</t>
  </si>
  <si>
    <t>ELZ</t>
  </si>
  <si>
    <t>Hector Ariel Leiva</t>
  </si>
  <si>
    <t>Dominicos Puntanos 926 - SL</t>
  </si>
  <si>
    <t>Gerardo Schlesinger</t>
  </si>
  <si>
    <t>Belgrano 912 - SL</t>
  </si>
  <si>
    <t>CPH</t>
  </si>
  <si>
    <t>Javier González</t>
  </si>
  <si>
    <t>B° Paseo del Cerro Mz 471 Casa 1 - SL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</si>
</sst>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2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49" fontId="26" fillId="4" borderId="13" xfId="1" applyNumberFormat="1" applyFont="1" applyFill="1" applyBorder="1" applyAlignment="1" applyProtection="1">
      <alignment horizontal="center" vertical="distributed" shrinkToFit="1"/>
      <protection locked="0"/>
    </xf>
    <xf numFmtId="0" fontId="13" fillId="3" borderId="0" xfId="1" applyFont="1" applyFill="1"/>
    <xf numFmtId="165" fontId="29" fillId="3" borderId="12" xfId="1" applyNumberFormat="1" applyFont="1" applyFill="1" applyBorder="1" applyAlignment="1">
      <alignment horizontal="center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6" fillId="0" borderId="4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7" fillId="3" borderId="6" xfId="1" applyFont="1" applyFill="1" applyBorder="1" applyAlignment="1">
      <alignment horizontal="center"/>
    </xf>
    <xf numFmtId="0" fontId="20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0" fontId="26" fillId="4" borderId="11" xfId="1" applyFont="1" applyFill="1" applyBorder="1" applyAlignment="1" applyProtection="1">
      <alignment horizontal="center" vertical="distributed" shrinkToFit="1"/>
      <protection locked="0"/>
    </xf>
    <xf numFmtId="0" fontId="21" fillId="0" borderId="12" xfId="1" applyFont="1" applyBorder="1" applyAlignment="1">
      <alignment horizontal="center" vertical="distributed" shrinkToFit="1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16" fontId="28" fillId="3" borderId="11" xfId="1" applyNumberFormat="1" applyFont="1" applyFill="1" applyBorder="1" applyAlignment="1">
      <alignment horizontal="center"/>
    </xf>
    <xf numFmtId="0" fontId="26" fillId="4" borderId="12" xfId="1" applyFont="1" applyFill="1" applyBorder="1" applyAlignment="1" applyProtection="1">
      <alignment horizontal="center" vertical="distributed" shrinkToFit="1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A2" sqref="A2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6</v>
      </c>
      <c r="F1" s="22" t="s">
        <v>45</v>
      </c>
      <c r="G1" s="25">
        <v>44831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6.5</v>
      </c>
      <c r="F2" s="22" t="s">
        <v>38</v>
      </c>
      <c r="G2" s="24">
        <v>0.36805555555555558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/>
      <c r="H3" s="13"/>
    </row>
    <row r="4" spans="1:9" ht="22.5" x14ac:dyDescent="0.3">
      <c r="A4" s="13" t="s">
        <v>44</v>
      </c>
      <c r="B4" s="13"/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/>
      <c r="C6" s="13"/>
      <c r="D6" s="13"/>
      <c r="E6" s="13"/>
      <c r="F6" s="13"/>
      <c r="G6" s="17"/>
      <c r="H6" s="13"/>
      <c r="I6" s="13"/>
    </row>
    <row r="7" spans="1:9" ht="22.5" x14ac:dyDescent="0.3">
      <c r="A7" s="20">
        <f t="shared" ref="A7:A20" si="0">A6+1</f>
        <v>2</v>
      </c>
      <c r="B7" s="13"/>
      <c r="C7" s="13"/>
      <c r="D7" s="13"/>
      <c r="E7" s="13"/>
      <c r="F7" s="13"/>
      <c r="G7" s="17"/>
      <c r="H7" s="13"/>
      <c r="I7" s="13"/>
    </row>
    <row r="8" spans="1:9" ht="22.5" x14ac:dyDescent="0.3">
      <c r="A8" s="20">
        <f t="shared" si="0"/>
        <v>3</v>
      </c>
      <c r="B8" s="13"/>
      <c r="C8" s="13"/>
      <c r="D8" s="13"/>
      <c r="E8" s="13"/>
      <c r="F8" s="13"/>
      <c r="G8" s="17"/>
      <c r="H8" s="13"/>
      <c r="I8" s="13"/>
    </row>
    <row r="9" spans="1:9" ht="22.5" x14ac:dyDescent="0.3">
      <c r="A9" s="20">
        <f t="shared" si="0"/>
        <v>4</v>
      </c>
      <c r="B9" s="13"/>
      <c r="C9" s="13"/>
      <c r="D9" s="13"/>
      <c r="E9" s="13"/>
      <c r="F9" s="13"/>
      <c r="G9" s="13"/>
      <c r="H9" s="13"/>
      <c r="I9" s="13"/>
    </row>
    <row r="10" spans="1:9" ht="22.5" x14ac:dyDescent="0.3">
      <c r="A10" s="20">
        <f t="shared" si="0"/>
        <v>5</v>
      </c>
      <c r="B10" s="13"/>
      <c r="C10" s="13"/>
      <c r="D10" s="13"/>
      <c r="E10" s="13"/>
      <c r="F10" s="13"/>
      <c r="G10" s="17"/>
      <c r="H10" s="13"/>
      <c r="I10" s="13"/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/>
      <c r="C22" s="13"/>
      <c r="D22" s="13"/>
      <c r="E22" s="13"/>
      <c r="F22" s="13"/>
      <c r="G22" s="82" t="s">
        <v>37</v>
      </c>
      <c r="H22" s="13">
        <f>SUM(H6:H21)</f>
        <v>0</v>
      </c>
      <c r="I22" s="13">
        <f>SUM(I6:I21)</f>
        <v>0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2195887993</v>
      </c>
      <c r="C24" s="13" t="s">
        <v>78</v>
      </c>
      <c r="D24" s="13" t="s">
        <v>94</v>
      </c>
      <c r="E24" s="13" t="s">
        <v>52</v>
      </c>
      <c r="F24" s="13" t="s">
        <v>95</v>
      </c>
      <c r="G24" s="13" t="s">
        <v>96</v>
      </c>
      <c r="H24" s="13">
        <v>1</v>
      </c>
      <c r="I24" s="13">
        <v>1</v>
      </c>
    </row>
    <row r="25" spans="1:9" ht="22.5" x14ac:dyDescent="0.3">
      <c r="A25" s="20">
        <f t="shared" si="1"/>
        <v>2</v>
      </c>
      <c r="B25" s="13">
        <v>3784038650</v>
      </c>
      <c r="C25" s="13" t="s">
        <v>78</v>
      </c>
      <c r="D25" s="13" t="s">
        <v>79</v>
      </c>
      <c r="E25" s="13" t="s">
        <v>52</v>
      </c>
      <c r="F25" s="13" t="s">
        <v>80</v>
      </c>
      <c r="G25" s="13" t="s">
        <v>81</v>
      </c>
      <c r="H25" s="13">
        <v>1</v>
      </c>
      <c r="I25" s="13">
        <v>2</v>
      </c>
    </row>
    <row r="26" spans="1:9" s="18" customFormat="1" ht="22.5" x14ac:dyDescent="0.3">
      <c r="A26" s="20">
        <f t="shared" si="1"/>
        <v>3</v>
      </c>
      <c r="B26" s="13">
        <v>4124877374</v>
      </c>
      <c r="C26" s="13" t="s">
        <v>78</v>
      </c>
      <c r="D26" s="13" t="s">
        <v>82</v>
      </c>
      <c r="E26" s="13" t="s">
        <v>52</v>
      </c>
      <c r="F26" s="13" t="s">
        <v>83</v>
      </c>
      <c r="G26" s="13" t="s">
        <v>84</v>
      </c>
      <c r="H26" s="13">
        <v>1</v>
      </c>
      <c r="I26" s="13">
        <v>2</v>
      </c>
    </row>
    <row r="27" spans="1:9" s="18" customFormat="1" ht="22.5" x14ac:dyDescent="0.3">
      <c r="A27" s="20">
        <f t="shared" si="1"/>
        <v>4</v>
      </c>
      <c r="B27" s="13">
        <v>8356639712</v>
      </c>
      <c r="C27" s="13" t="s">
        <v>85</v>
      </c>
      <c r="D27" s="13" t="s">
        <v>89</v>
      </c>
      <c r="E27" s="13" t="s">
        <v>52</v>
      </c>
      <c r="F27" s="13" t="s">
        <v>92</v>
      </c>
      <c r="G27" s="13" t="s">
        <v>93</v>
      </c>
      <c r="H27" s="13">
        <v>1</v>
      </c>
      <c r="I27" s="13">
        <v>0.5</v>
      </c>
    </row>
    <row r="28" spans="1:9" ht="22.5" x14ac:dyDescent="0.3">
      <c r="A28" s="20">
        <f t="shared" si="1"/>
        <v>5</v>
      </c>
      <c r="B28" s="13">
        <v>8940998850</v>
      </c>
      <c r="C28" s="13" t="s">
        <v>85</v>
      </c>
      <c r="D28" s="13" t="s">
        <v>86</v>
      </c>
      <c r="E28" s="13" t="s">
        <v>52</v>
      </c>
      <c r="F28" s="13" t="s">
        <v>87</v>
      </c>
      <c r="G28" s="13" t="s">
        <v>88</v>
      </c>
      <c r="H28" s="13">
        <v>1</v>
      </c>
      <c r="I28" s="13">
        <v>0.5</v>
      </c>
    </row>
    <row r="29" spans="1:9" ht="22.5" x14ac:dyDescent="0.3">
      <c r="A29" s="20">
        <f t="shared" si="1"/>
        <v>6</v>
      </c>
      <c r="B29" s="13">
        <v>9095400285</v>
      </c>
      <c r="C29" s="13" t="s">
        <v>85</v>
      </c>
      <c r="D29" s="13" t="s">
        <v>89</v>
      </c>
      <c r="E29" s="13" t="s">
        <v>52</v>
      </c>
      <c r="F29" s="13" t="s">
        <v>90</v>
      </c>
      <c r="G29" s="13" t="s">
        <v>91</v>
      </c>
      <c r="H29" s="13">
        <v>1</v>
      </c>
      <c r="I29" s="13">
        <v>0.5</v>
      </c>
    </row>
    <row r="30" spans="1:9" ht="22.5" x14ac:dyDescent="0.3">
      <c r="A30" s="20">
        <f t="shared" si="1"/>
        <v>7</v>
      </c>
      <c r="B30" s="13"/>
      <c r="C30" s="13"/>
      <c r="D30" s="13"/>
      <c r="E30" s="13"/>
      <c r="F30" s="13"/>
      <c r="G30" s="13"/>
      <c r="H30" s="13"/>
      <c r="I30" s="13"/>
    </row>
    <row r="31" spans="1:9" ht="22.5" x14ac:dyDescent="0.3">
      <c r="A31" s="20">
        <f t="shared" si="1"/>
        <v>8</v>
      </c>
      <c r="B31" s="13"/>
      <c r="C31" s="13"/>
      <c r="D31" s="13"/>
      <c r="E31" s="13"/>
      <c r="F31" s="13"/>
      <c r="G31" s="13"/>
      <c r="H31" s="13"/>
      <c r="I31" s="13"/>
    </row>
    <row r="32" spans="1:9" ht="22.5" x14ac:dyDescent="0.3">
      <c r="A32" s="20">
        <f t="shared" si="1"/>
        <v>9</v>
      </c>
      <c r="B32" s="13"/>
      <c r="C32" s="13"/>
      <c r="D32" s="13"/>
      <c r="E32" s="13"/>
      <c r="F32" s="13"/>
      <c r="G32" s="13"/>
      <c r="H32" s="13"/>
      <c r="I32" s="13"/>
    </row>
    <row r="33" spans="1:9" s="18" customFormat="1" ht="22.5" x14ac:dyDescent="0.3">
      <c r="A33" s="20">
        <f t="shared" si="1"/>
        <v>10</v>
      </c>
      <c r="B33" s="13"/>
      <c r="C33" s="13"/>
      <c r="D33" s="13"/>
      <c r="E33" s="13"/>
      <c r="F33" s="13"/>
      <c r="G33" s="13"/>
      <c r="H33" s="13"/>
      <c r="I33" s="13"/>
    </row>
    <row r="34" spans="1:9" ht="22.5" x14ac:dyDescent="0.3">
      <c r="A34" s="20">
        <f t="shared" si="1"/>
        <v>11</v>
      </c>
      <c r="B34" s="13"/>
      <c r="C34" s="13"/>
      <c r="D34" s="13"/>
      <c r="E34" s="13"/>
      <c r="F34" s="13"/>
      <c r="G34" s="13"/>
      <c r="H34" s="13"/>
      <c r="I34" s="13"/>
    </row>
    <row r="35" spans="1:9" ht="22.5" x14ac:dyDescent="0.3">
      <c r="A35" s="20">
        <f t="shared" si="1"/>
        <v>12</v>
      </c>
      <c r="B35" s="13"/>
      <c r="C35" s="13"/>
      <c r="D35" s="13"/>
      <c r="E35" s="13"/>
      <c r="F35" s="13"/>
      <c r="G35" s="17"/>
      <c r="H35" s="13"/>
      <c r="I35" s="13"/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6</v>
      </c>
      <c r="I41" s="13">
        <f>SUM(I24:I40)</f>
        <v>6.5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abSelected="1" topLeftCell="A2" workbookViewId="0">
      <selection activeCell="B16" sqref="B16:E1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08" t="s">
        <v>0</v>
      </c>
      <c r="B1" s="109"/>
      <c r="C1" s="109"/>
      <c r="D1" s="109"/>
      <c r="E1" s="109"/>
      <c r="F1" s="109"/>
      <c r="G1" s="109"/>
      <c r="H1" s="109"/>
      <c r="I1" s="109"/>
      <c r="J1" s="109"/>
      <c r="K1" s="1"/>
      <c r="L1" s="1"/>
      <c r="M1" s="1"/>
      <c r="N1" s="1"/>
    </row>
    <row r="2" spans="1:14" ht="45.75" customHeight="1" x14ac:dyDescent="0.25">
      <c r="A2" s="101">
        <f>'Carga de Datos'!G1</f>
        <v>44831</v>
      </c>
      <c r="B2" s="101"/>
      <c r="C2" s="101"/>
      <c r="D2" s="101"/>
      <c r="E2" s="101"/>
      <c r="F2" s="102" t="s">
        <v>73</v>
      </c>
      <c r="G2" s="102"/>
      <c r="H2" s="102"/>
      <c r="I2" s="102"/>
      <c r="J2" s="102"/>
      <c r="K2" s="2"/>
      <c r="L2" s="2"/>
      <c r="M2" s="2"/>
      <c r="N2" s="2"/>
    </row>
    <row r="3" spans="1:14" ht="15" customHeight="1" x14ac:dyDescent="0.25">
      <c r="A3" s="112"/>
      <c r="B3" s="111"/>
      <c r="C3" s="111"/>
      <c r="D3" s="111"/>
      <c r="E3" s="111"/>
      <c r="F3" s="111"/>
      <c r="G3" s="111"/>
      <c r="H3" s="111"/>
      <c r="I3" s="111"/>
      <c r="J3" s="111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6</v>
      </c>
      <c r="G4" s="26" t="s">
        <v>31</v>
      </c>
      <c r="H4" s="30">
        <f>'Carga de Datos'!E2</f>
        <v>6.5</v>
      </c>
      <c r="I4" s="26" t="s">
        <v>36</v>
      </c>
      <c r="J4" s="29">
        <f>'Carga de Datos'!B22</f>
        <v>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44831</v>
      </c>
      <c r="C5" s="28" t="s">
        <v>1</v>
      </c>
      <c r="D5" s="31">
        <f>'Carga de Datos'!G2</f>
        <v>0.36805555555555558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3"/>
      <c r="B6" s="120"/>
      <c r="C6" s="120"/>
      <c r="D6" s="120"/>
      <c r="E6" s="120"/>
      <c r="F6" s="120"/>
      <c r="G6" s="120"/>
      <c r="H6" s="120"/>
      <c r="I6" s="120"/>
      <c r="J6" s="120"/>
      <c r="K6" s="4"/>
      <c r="L6" s="4"/>
      <c r="M6" s="4"/>
      <c r="N6" s="4"/>
    </row>
    <row r="7" spans="1:14" ht="42" customHeight="1" x14ac:dyDescent="0.25">
      <c r="A7" s="110" t="s">
        <v>6</v>
      </c>
      <c r="B7" s="111"/>
      <c r="C7" s="111"/>
      <c r="D7" s="111"/>
      <c r="E7" s="111"/>
      <c r="F7" s="111"/>
      <c r="G7" s="111"/>
      <c r="H7" s="111"/>
      <c r="I7" s="111"/>
      <c r="J7" s="111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2195887993</v>
      </c>
      <c r="C9" s="9"/>
      <c r="D9" s="9"/>
      <c r="E9" s="10">
        <f>'Carga de Datos'!H24</f>
        <v>1</v>
      </c>
      <c r="F9" s="21">
        <f>'Carga de Datos'!I24</f>
        <v>1</v>
      </c>
      <c r="G9" s="11" t="str">
        <f>'Carga de Datos'!C24</f>
        <v>WPX</v>
      </c>
      <c r="H9" s="4"/>
      <c r="I9" s="4"/>
      <c r="J9" s="9"/>
    </row>
    <row r="10" spans="1:14" x14ac:dyDescent="0.25">
      <c r="A10" s="103"/>
      <c r="B10" s="107" t="str">
        <f>'Carga de Datos'!F24</f>
        <v>Javier González</v>
      </c>
      <c r="C10" s="107"/>
      <c r="D10" s="107"/>
      <c r="E10" s="107"/>
      <c r="F10" s="103"/>
      <c r="G10" s="114"/>
      <c r="H10" s="116"/>
      <c r="I10" s="103"/>
      <c r="J10" s="103"/>
    </row>
    <row r="11" spans="1:14" ht="15.75" thickBot="1" x14ac:dyDescent="0.3">
      <c r="A11" s="104"/>
      <c r="B11" s="113" t="str">
        <f>'Carga de Datos'!G24</f>
        <v>B° Paseo del Cerro Mz 471 Casa 1 - SL</v>
      </c>
      <c r="C11" s="113"/>
      <c r="D11" s="113"/>
      <c r="E11" s="113"/>
      <c r="F11" s="104"/>
      <c r="G11" s="115"/>
      <c r="H11" s="117"/>
      <c r="I11" s="104"/>
      <c r="J11" s="104"/>
    </row>
    <row r="12" spans="1:14" ht="15.75" customHeight="1" x14ac:dyDescent="0.25">
      <c r="A12" s="8" t="s">
        <v>18</v>
      </c>
      <c r="B12" s="33">
        <f>'Carga de Datos'!B25</f>
        <v>3784038650</v>
      </c>
      <c r="C12" s="9"/>
      <c r="D12" s="9"/>
      <c r="E12" s="10">
        <f>'Carga de Datos'!H25</f>
        <v>1</v>
      </c>
      <c r="F12" s="21">
        <f>'Carga de Datos'!I25</f>
        <v>2</v>
      </c>
      <c r="G12" s="11" t="str">
        <f>'Carga de Datos'!C25</f>
        <v>WPX</v>
      </c>
      <c r="H12" s="4"/>
      <c r="I12" s="4"/>
      <c r="J12" s="9"/>
    </row>
    <row r="13" spans="1:14" ht="15" customHeight="1" x14ac:dyDescent="0.25">
      <c r="A13" s="103"/>
      <c r="B13" s="107" t="str">
        <f>'Carga de Datos'!F25</f>
        <v>Colgate Palmolive Argentina S.A.</v>
      </c>
      <c r="C13" s="107"/>
      <c r="D13" s="107"/>
      <c r="E13" s="107"/>
      <c r="F13" s="103"/>
      <c r="G13" s="114"/>
      <c r="H13" s="116"/>
      <c r="I13" s="103"/>
      <c r="J13" s="103"/>
    </row>
    <row r="14" spans="1:14" ht="15.75" customHeight="1" thickBot="1" x14ac:dyDescent="0.3">
      <c r="A14" s="104"/>
      <c r="B14" s="113" t="str">
        <f>'Carga de Datos'!G25</f>
        <v>Calle 5 y 105 - SL</v>
      </c>
      <c r="C14" s="113"/>
      <c r="D14" s="113"/>
      <c r="E14" s="113"/>
      <c r="F14" s="104"/>
      <c r="G14" s="115"/>
      <c r="H14" s="117"/>
      <c r="I14" s="104"/>
      <c r="J14" s="104"/>
    </row>
    <row r="15" spans="1:14" ht="15.75" x14ac:dyDescent="0.25">
      <c r="A15" s="8" t="s">
        <v>19</v>
      </c>
      <c r="B15" s="33">
        <f>'Carga de Datos'!B26</f>
        <v>4124877374</v>
      </c>
      <c r="C15" s="9"/>
      <c r="D15" s="9"/>
      <c r="E15" s="10">
        <f>'Carga de Datos'!H26</f>
        <v>1</v>
      </c>
      <c r="F15" s="21">
        <f>'Carga de Datos'!I26</f>
        <v>2</v>
      </c>
      <c r="G15" s="11" t="str">
        <f>'Carga de Datos'!C26</f>
        <v>WPX</v>
      </c>
      <c r="H15" s="4"/>
      <c r="I15" s="4"/>
      <c r="J15" s="9"/>
    </row>
    <row r="16" spans="1:14" ht="15" customHeight="1" x14ac:dyDescent="0.25">
      <c r="A16" s="103"/>
      <c r="B16" s="107" t="str">
        <f>'Carga de Datos'!F26</f>
        <v>Miguel Angel Berardo</v>
      </c>
      <c r="C16" s="107"/>
      <c r="D16" s="107"/>
      <c r="E16" s="107"/>
      <c r="F16" s="103"/>
      <c r="G16" s="114"/>
      <c r="H16" s="116"/>
      <c r="I16" s="103"/>
      <c r="J16" s="103"/>
    </row>
    <row r="17" spans="1:10" ht="15.75" customHeight="1" thickBot="1" x14ac:dyDescent="0.3">
      <c r="A17" s="104"/>
      <c r="B17" s="113" t="str">
        <f>'Carga de Datos'!G26</f>
        <v>Av. Lafinur 924 - SL</v>
      </c>
      <c r="C17" s="113"/>
      <c r="D17" s="113"/>
      <c r="E17" s="113"/>
      <c r="F17" s="104"/>
      <c r="G17" s="115"/>
      <c r="H17" s="117"/>
      <c r="I17" s="104"/>
      <c r="J17" s="104"/>
    </row>
    <row r="18" spans="1:10" ht="15.75" x14ac:dyDescent="0.25">
      <c r="A18" s="8" t="s">
        <v>20</v>
      </c>
      <c r="B18" s="33">
        <f>'Carga de Datos'!B27</f>
        <v>8356639712</v>
      </c>
      <c r="C18" s="9"/>
      <c r="D18" s="9"/>
      <c r="E18" s="10">
        <f>'Carga de Datos'!H27</f>
        <v>1</v>
      </c>
      <c r="F18" s="21">
        <f>'Carga de Datos'!I27</f>
        <v>0.5</v>
      </c>
      <c r="G18" s="11" t="str">
        <f>'Carga de Datos'!C27</f>
        <v>XPD</v>
      </c>
      <c r="H18" s="4"/>
      <c r="I18" s="4"/>
      <c r="J18" s="9"/>
    </row>
    <row r="19" spans="1:10" ht="15" customHeight="1" x14ac:dyDescent="0.25">
      <c r="A19" s="103"/>
      <c r="B19" s="107" t="str">
        <f>'Carga de Datos'!F27</f>
        <v>Gerardo Schlesinger</v>
      </c>
      <c r="C19" s="107"/>
      <c r="D19" s="107"/>
      <c r="E19" s="107"/>
      <c r="F19" s="103"/>
      <c r="G19" s="114"/>
      <c r="H19" s="116"/>
      <c r="I19" s="103"/>
      <c r="J19" s="103"/>
    </row>
    <row r="20" spans="1:10" ht="15.75" customHeight="1" thickBot="1" x14ac:dyDescent="0.3">
      <c r="A20" s="104"/>
      <c r="B20" s="113" t="str">
        <f>'Carga de Datos'!G27</f>
        <v>Belgrano 912 - SL</v>
      </c>
      <c r="C20" s="113"/>
      <c r="D20" s="113"/>
      <c r="E20" s="113"/>
      <c r="F20" s="104"/>
      <c r="G20" s="115"/>
      <c r="H20" s="117"/>
      <c r="I20" s="104"/>
      <c r="J20" s="104"/>
    </row>
    <row r="21" spans="1:10" ht="15.75" x14ac:dyDescent="0.25">
      <c r="A21" s="8" t="s">
        <v>21</v>
      </c>
      <c r="B21" s="33">
        <f>'Carga de Datos'!B28</f>
        <v>8940998850</v>
      </c>
      <c r="C21" s="9"/>
      <c r="D21" s="9"/>
      <c r="E21" s="10">
        <f>'Carga de Datos'!H28</f>
        <v>1</v>
      </c>
      <c r="F21" s="21">
        <f>'Carga de Datos'!I28</f>
        <v>0.5</v>
      </c>
      <c r="G21" s="11" t="str">
        <f>'Carga de Datos'!C28</f>
        <v>XPD</v>
      </c>
      <c r="H21" s="4"/>
      <c r="I21" s="4"/>
      <c r="J21" s="9"/>
    </row>
    <row r="22" spans="1:10" ht="15" customHeight="1" x14ac:dyDescent="0.25">
      <c r="A22" s="103"/>
      <c r="B22" s="107" t="str">
        <f>'Carga de Datos'!F28</f>
        <v>Arcor SAIC</v>
      </c>
      <c r="C22" s="107"/>
      <c r="D22" s="107"/>
      <c r="E22" s="107"/>
      <c r="F22" s="103"/>
      <c r="G22" s="114"/>
      <c r="H22" s="116"/>
      <c r="I22" s="103"/>
      <c r="J22" s="103"/>
    </row>
    <row r="23" spans="1:10" ht="15.75" customHeight="1" thickBot="1" x14ac:dyDescent="0.3">
      <c r="A23" s="104"/>
      <c r="B23" s="113" t="str">
        <f>'Carga de Datos'!G28</f>
        <v>Calle 113 entre 1 y 3 - SL</v>
      </c>
      <c r="C23" s="113"/>
      <c r="D23" s="113"/>
      <c r="E23" s="113"/>
      <c r="F23" s="104"/>
      <c r="G23" s="115"/>
      <c r="H23" s="117"/>
      <c r="I23" s="104"/>
      <c r="J23" s="104"/>
    </row>
    <row r="24" spans="1:10" ht="15.75" x14ac:dyDescent="0.25">
      <c r="A24" s="8" t="s">
        <v>22</v>
      </c>
      <c r="B24" s="33">
        <f>'Carga de Datos'!B29</f>
        <v>9095400285</v>
      </c>
      <c r="C24" s="9"/>
      <c r="D24" s="9"/>
      <c r="E24" s="10">
        <f>'Carga de Datos'!H29</f>
        <v>1</v>
      </c>
      <c r="F24" s="21">
        <f>'Carga de Datos'!I29</f>
        <v>0.5</v>
      </c>
      <c r="G24" s="11" t="str">
        <f>'Carga de Datos'!C29</f>
        <v>XPD</v>
      </c>
      <c r="H24" s="4"/>
      <c r="I24" s="4"/>
      <c r="J24" s="9"/>
    </row>
    <row r="25" spans="1:10" x14ac:dyDescent="0.25">
      <c r="A25" s="103"/>
      <c r="B25" s="107" t="str">
        <f>'Carga de Datos'!F29</f>
        <v>Hector Ariel Leiva</v>
      </c>
      <c r="C25" s="107"/>
      <c r="D25" s="107"/>
      <c r="E25" s="107"/>
      <c r="F25" s="103"/>
      <c r="G25" s="114"/>
      <c r="H25" s="116"/>
      <c r="I25" s="103"/>
      <c r="J25" s="103"/>
    </row>
    <row r="26" spans="1:10" ht="15.75" thickBot="1" x14ac:dyDescent="0.3">
      <c r="A26" s="104"/>
      <c r="B26" s="113" t="str">
        <f>'Carga de Datos'!G29</f>
        <v>Dominicos Puntanos 926 - SL</v>
      </c>
      <c r="C26" s="113"/>
      <c r="D26" s="113"/>
      <c r="E26" s="113"/>
      <c r="F26" s="104"/>
      <c r="G26" s="115"/>
      <c r="H26" s="117"/>
      <c r="I26" s="104"/>
      <c r="J26" s="104"/>
    </row>
    <row r="27" spans="1:10" ht="15.75" x14ac:dyDescent="0.25">
      <c r="A27" s="8" t="s">
        <v>23</v>
      </c>
      <c r="B27" s="33">
        <f>'Carga de Datos'!B30</f>
        <v>0</v>
      </c>
      <c r="C27" s="9"/>
      <c r="D27" s="9"/>
      <c r="E27" s="10">
        <f>'Carga de Datos'!H30</f>
        <v>0</v>
      </c>
      <c r="F27" s="21">
        <f>'Carga de Datos'!I30</f>
        <v>0</v>
      </c>
      <c r="G27" s="11">
        <f>'Carga de Datos'!C30</f>
        <v>0</v>
      </c>
      <c r="H27" s="4"/>
      <c r="I27" s="4"/>
      <c r="J27" s="9"/>
    </row>
    <row r="28" spans="1:10" x14ac:dyDescent="0.25">
      <c r="A28" s="103"/>
      <c r="B28" s="107">
        <f>'Carga de Datos'!F30</f>
        <v>0</v>
      </c>
      <c r="C28" s="107"/>
      <c r="D28" s="107"/>
      <c r="E28" s="107"/>
      <c r="F28" s="103"/>
      <c r="G28" s="114"/>
      <c r="H28" s="116"/>
      <c r="I28" s="103"/>
      <c r="J28" s="103"/>
    </row>
    <row r="29" spans="1:10" ht="15.75" thickBot="1" x14ac:dyDescent="0.3">
      <c r="A29" s="104"/>
      <c r="B29" s="113">
        <f>'Carga de Datos'!G30</f>
        <v>0</v>
      </c>
      <c r="C29" s="113"/>
      <c r="D29" s="113"/>
      <c r="E29" s="113"/>
      <c r="F29" s="104"/>
      <c r="G29" s="115"/>
      <c r="H29" s="117"/>
      <c r="I29" s="104"/>
      <c r="J29" s="104"/>
    </row>
    <row r="30" spans="1:10" ht="15.75" x14ac:dyDescent="0.25">
      <c r="A30" s="12">
        <v>8</v>
      </c>
      <c r="B30" s="33">
        <f>'Carga de Datos'!B31</f>
        <v>0</v>
      </c>
      <c r="C30" s="9"/>
      <c r="D30" s="9"/>
      <c r="E30" s="10">
        <f>'Carga de Datos'!H31</f>
        <v>0</v>
      </c>
      <c r="F30" s="21">
        <f>'Carga de Datos'!I31</f>
        <v>0</v>
      </c>
      <c r="G30" s="11">
        <f>'Carga de Datos'!C31</f>
        <v>0</v>
      </c>
      <c r="H30" s="4"/>
      <c r="I30" s="4"/>
      <c r="J30" s="9"/>
    </row>
    <row r="31" spans="1:10" x14ac:dyDescent="0.25">
      <c r="A31" s="105"/>
      <c r="B31" s="107">
        <f>'Carga de Datos'!F31</f>
        <v>0</v>
      </c>
      <c r="C31" s="107"/>
      <c r="D31" s="107"/>
      <c r="E31" s="107"/>
      <c r="F31" s="103"/>
      <c r="G31" s="114"/>
      <c r="H31" s="116"/>
      <c r="I31" s="103"/>
      <c r="J31" s="103"/>
    </row>
    <row r="32" spans="1:10" ht="15.75" thickBot="1" x14ac:dyDescent="0.3">
      <c r="A32" s="106"/>
      <c r="B32" s="113">
        <f>'Carga de Datos'!G31</f>
        <v>0</v>
      </c>
      <c r="C32" s="113"/>
      <c r="D32" s="113"/>
      <c r="E32" s="113"/>
      <c r="F32" s="104"/>
      <c r="G32" s="115"/>
      <c r="H32" s="117"/>
      <c r="I32" s="104"/>
      <c r="J32" s="104"/>
    </row>
    <row r="33" spans="1:14" ht="15.75" x14ac:dyDescent="0.25">
      <c r="A33" s="12">
        <v>9</v>
      </c>
      <c r="B33" s="33">
        <f>'Carga de Datos'!B32</f>
        <v>0</v>
      </c>
      <c r="C33" s="9"/>
      <c r="D33" s="9"/>
      <c r="E33" s="10">
        <f>'Carga de Datos'!H32</f>
        <v>0</v>
      </c>
      <c r="F33" s="21">
        <f>'Carga de Datos'!I32</f>
        <v>0</v>
      </c>
      <c r="G33" s="11">
        <f>'Carga de Datos'!C32</f>
        <v>0</v>
      </c>
      <c r="H33" s="4"/>
      <c r="I33" s="4"/>
      <c r="J33" s="9"/>
    </row>
    <row r="34" spans="1:14" x14ac:dyDescent="0.25">
      <c r="A34" s="105"/>
      <c r="B34" s="107">
        <f>'Carga de Datos'!F32</f>
        <v>0</v>
      </c>
      <c r="C34" s="107"/>
      <c r="D34" s="107"/>
      <c r="E34" s="107"/>
      <c r="F34" s="103"/>
      <c r="G34" s="114"/>
      <c r="H34" s="116"/>
      <c r="I34" s="103"/>
      <c r="J34" s="103"/>
    </row>
    <row r="35" spans="1:14" ht="15.75" thickBot="1" x14ac:dyDescent="0.3">
      <c r="A35" s="106"/>
      <c r="B35" s="113">
        <f>'Carga de Datos'!G32</f>
        <v>0</v>
      </c>
      <c r="C35" s="113"/>
      <c r="D35" s="113"/>
      <c r="E35" s="113"/>
      <c r="F35" s="104"/>
      <c r="G35" s="115"/>
      <c r="H35" s="117"/>
      <c r="I35" s="104"/>
      <c r="J35" s="104"/>
    </row>
    <row r="36" spans="1:14" ht="15.75" x14ac:dyDescent="0.25">
      <c r="A36" s="12">
        <v>10</v>
      </c>
      <c r="B36" s="33">
        <f>'Carga de Datos'!B33</f>
        <v>0</v>
      </c>
      <c r="C36" s="9"/>
      <c r="D36" s="9"/>
      <c r="E36" s="10">
        <f>'Carga de Datos'!H33</f>
        <v>0</v>
      </c>
      <c r="F36" s="21">
        <f>'Carga de Datos'!I33</f>
        <v>0</v>
      </c>
      <c r="G36" s="11">
        <f>'Carga de Datos'!C33</f>
        <v>0</v>
      </c>
      <c r="H36" s="4"/>
      <c r="I36" s="4"/>
      <c r="J36" s="9"/>
    </row>
    <row r="37" spans="1:14" x14ac:dyDescent="0.25">
      <c r="A37" s="105"/>
      <c r="B37" s="107">
        <f>'Carga de Datos'!F33</f>
        <v>0</v>
      </c>
      <c r="C37" s="107"/>
      <c r="D37" s="107"/>
      <c r="E37" s="107"/>
      <c r="F37" s="103"/>
      <c r="G37" s="114"/>
      <c r="H37" s="116"/>
      <c r="I37" s="103"/>
      <c r="J37" s="103"/>
    </row>
    <row r="38" spans="1:14" ht="15.75" thickBot="1" x14ac:dyDescent="0.3">
      <c r="A38" s="106"/>
      <c r="B38" s="113">
        <f>'Carga de Datos'!G33</f>
        <v>0</v>
      </c>
      <c r="C38" s="113"/>
      <c r="D38" s="113"/>
      <c r="E38" s="113"/>
      <c r="F38" s="104"/>
      <c r="G38" s="115"/>
      <c r="H38" s="117"/>
      <c r="I38" s="104"/>
      <c r="J38" s="104"/>
    </row>
    <row r="39" spans="1:14" ht="15.75" x14ac:dyDescent="0.25">
      <c r="A39" s="12">
        <v>11</v>
      </c>
      <c r="B39" s="33">
        <f>'Carga de Datos'!B34</f>
        <v>0</v>
      </c>
      <c r="C39" s="9"/>
      <c r="D39" s="9"/>
      <c r="E39" s="10">
        <f>'Carga de Datos'!H34</f>
        <v>0</v>
      </c>
      <c r="F39" s="21">
        <f>'Carga de Datos'!I34</f>
        <v>0</v>
      </c>
      <c r="G39" s="11">
        <f>'Carga de Datos'!C34</f>
        <v>0</v>
      </c>
      <c r="H39" s="4"/>
      <c r="I39" s="4"/>
      <c r="J39" s="9"/>
    </row>
    <row r="40" spans="1:14" x14ac:dyDescent="0.25">
      <c r="A40" s="118"/>
      <c r="B40" s="107">
        <f>'Carga de Datos'!F34</f>
        <v>0</v>
      </c>
      <c r="C40" s="107"/>
      <c r="D40" s="107"/>
      <c r="E40" s="107"/>
      <c r="F40" s="103"/>
      <c r="G40" s="114"/>
      <c r="H40" s="116"/>
      <c r="I40" s="103"/>
      <c r="J40" s="103"/>
    </row>
    <row r="41" spans="1:14" ht="15.75" thickBot="1" x14ac:dyDescent="0.3">
      <c r="A41" s="119"/>
      <c r="B41" s="113">
        <f>'Carga de Datos'!G34</f>
        <v>0</v>
      </c>
      <c r="C41" s="113"/>
      <c r="D41" s="113"/>
      <c r="E41" s="113"/>
      <c r="F41" s="104"/>
      <c r="G41" s="115"/>
      <c r="H41" s="117"/>
      <c r="I41" s="104"/>
      <c r="J41" s="104"/>
    </row>
    <row r="42" spans="1:14" ht="15.75" customHeight="1" x14ac:dyDescent="0.25">
      <c r="A42" s="12">
        <v>12</v>
      </c>
      <c r="B42" s="33">
        <f>'Carga de Datos'!B35</f>
        <v>0</v>
      </c>
      <c r="C42" s="9"/>
      <c r="D42" s="9"/>
      <c r="E42" s="10">
        <f>'Carga de Datos'!H35</f>
        <v>0</v>
      </c>
      <c r="F42" s="21">
        <f>'Carga de Datos'!I35</f>
        <v>0</v>
      </c>
      <c r="G42" s="11">
        <f>'Carga de Datos'!C35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18"/>
      <c r="B43" s="107">
        <f>'Carga de Datos'!F35</f>
        <v>0</v>
      </c>
      <c r="C43" s="107"/>
      <c r="D43" s="107"/>
      <c r="E43" s="107"/>
      <c r="F43" s="103"/>
      <c r="G43" s="114"/>
      <c r="H43" s="116"/>
      <c r="I43" s="103"/>
      <c r="J43" s="103"/>
    </row>
    <row r="44" spans="1:14" ht="16.5" thickBot="1" x14ac:dyDescent="0.3">
      <c r="A44" s="119"/>
      <c r="B44" s="113">
        <f>'Carga de Datos'!G35</f>
        <v>0</v>
      </c>
      <c r="C44" s="113"/>
      <c r="D44" s="113"/>
      <c r="E44" s="113"/>
      <c r="F44" s="104"/>
      <c r="G44" s="115"/>
      <c r="H44" s="117"/>
      <c r="I44" s="104"/>
      <c r="J44" s="104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18"/>
      <c r="B46" s="107">
        <f>'Carga de Datos'!F36</f>
        <v>0</v>
      </c>
      <c r="C46" s="107"/>
      <c r="D46" s="107"/>
      <c r="E46" s="107"/>
      <c r="F46" s="103"/>
      <c r="G46" s="114"/>
      <c r="H46" s="116"/>
      <c r="I46" s="103"/>
      <c r="J46" s="103"/>
      <c r="K46" s="4"/>
      <c r="L46" s="4"/>
      <c r="M46" s="4"/>
      <c r="N46" s="4"/>
    </row>
    <row r="47" spans="1:14" ht="15.75" thickBot="1" x14ac:dyDescent="0.3">
      <c r="A47" s="119"/>
      <c r="B47" s="113">
        <f>'Carga de Datos'!G36</f>
        <v>0</v>
      </c>
      <c r="C47" s="113"/>
      <c r="D47" s="113"/>
      <c r="E47" s="113"/>
      <c r="F47" s="104"/>
      <c r="G47" s="115"/>
      <c r="H47" s="117"/>
      <c r="I47" s="104"/>
      <c r="J47" s="104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18"/>
      <c r="B49" s="107">
        <f>'Carga de Datos'!F37</f>
        <v>0</v>
      </c>
      <c r="C49" s="107"/>
      <c r="D49" s="107"/>
      <c r="E49" s="107"/>
      <c r="F49" s="103"/>
      <c r="G49" s="114"/>
      <c r="H49" s="116"/>
      <c r="I49" s="103"/>
      <c r="J49" s="103"/>
    </row>
    <row r="50" spans="1:10" ht="15.75" thickBot="1" x14ac:dyDescent="0.3">
      <c r="A50" s="119"/>
      <c r="B50" s="113">
        <f>'Carga de Datos'!G37</f>
        <v>0</v>
      </c>
      <c r="C50" s="113"/>
      <c r="D50" s="113"/>
      <c r="E50" s="113"/>
      <c r="F50" s="104"/>
      <c r="G50" s="115"/>
      <c r="H50" s="117"/>
      <c r="I50" s="104"/>
      <c r="J50" s="104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18"/>
      <c r="B52" s="107">
        <f>'Carga de Datos'!F38</f>
        <v>0</v>
      </c>
      <c r="C52" s="107"/>
      <c r="D52" s="107"/>
      <c r="E52" s="107"/>
      <c r="F52" s="103"/>
      <c r="G52" s="114"/>
      <c r="H52" s="116"/>
      <c r="I52" s="103"/>
      <c r="J52" s="103"/>
    </row>
    <row r="53" spans="1:10" ht="15.75" thickBot="1" x14ac:dyDescent="0.3">
      <c r="A53" s="119"/>
      <c r="B53" s="113">
        <f>'Carga de Datos'!G38</f>
        <v>0</v>
      </c>
      <c r="C53" s="113"/>
      <c r="D53" s="113"/>
      <c r="E53" s="113"/>
      <c r="F53" s="104"/>
      <c r="G53" s="115"/>
      <c r="H53" s="117"/>
      <c r="I53" s="104"/>
      <c r="J53" s="104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18"/>
      <c r="B55" s="107">
        <f>'Carga de Datos'!F39</f>
        <v>0</v>
      </c>
      <c r="C55" s="107"/>
      <c r="D55" s="107"/>
      <c r="E55" s="107"/>
      <c r="F55" s="103"/>
      <c r="G55" s="114"/>
      <c r="H55" s="116"/>
      <c r="I55" s="103"/>
      <c r="J55" s="103"/>
    </row>
    <row r="56" spans="1:10" ht="15.75" thickBot="1" x14ac:dyDescent="0.3">
      <c r="A56" s="119"/>
      <c r="B56" s="113">
        <f>'Carga de Datos'!G39</f>
        <v>0</v>
      </c>
      <c r="C56" s="113"/>
      <c r="D56" s="113"/>
      <c r="E56" s="113"/>
      <c r="F56" s="104"/>
      <c r="G56" s="115"/>
      <c r="H56" s="117"/>
      <c r="I56" s="104"/>
      <c r="J56" s="104"/>
    </row>
  </sheetData>
  <mergeCells count="118"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08" t="s">
        <v>43</v>
      </c>
      <c r="B1" s="109"/>
      <c r="C1" s="109"/>
      <c r="D1" s="109"/>
      <c r="E1" s="109"/>
      <c r="F1" s="109"/>
      <c r="G1" s="109"/>
      <c r="H1" s="109"/>
      <c r="I1" s="109"/>
      <c r="J1" s="109"/>
      <c r="K1" s="1"/>
      <c r="L1" s="1"/>
      <c r="M1" s="1"/>
      <c r="N1" s="1"/>
    </row>
    <row r="2" spans="1:14" ht="45.75" customHeight="1" x14ac:dyDescent="0.25">
      <c r="A2" s="101">
        <f>'Carga de Datos'!G1</f>
        <v>44831</v>
      </c>
      <c r="B2" s="101"/>
      <c r="C2" s="101"/>
      <c r="D2" s="101"/>
      <c r="E2" s="101"/>
      <c r="F2" s="102" t="s">
        <v>73</v>
      </c>
      <c r="G2" s="102"/>
      <c r="H2" s="102"/>
      <c r="I2" s="102"/>
      <c r="J2" s="102"/>
      <c r="K2" s="2"/>
      <c r="L2" s="2"/>
      <c r="M2" s="2"/>
      <c r="N2" s="2"/>
    </row>
    <row r="3" spans="1:14" ht="15" customHeight="1" x14ac:dyDescent="0.25">
      <c r="A3" s="112"/>
      <c r="B3" s="111"/>
      <c r="C3" s="111"/>
      <c r="D3" s="111"/>
      <c r="E3" s="111"/>
      <c r="F3" s="111"/>
      <c r="G3" s="111"/>
      <c r="H3" s="111"/>
      <c r="I3" s="111"/>
      <c r="J3" s="111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6</v>
      </c>
      <c r="G4" s="26" t="s">
        <v>31</v>
      </c>
      <c r="H4" s="30">
        <f>'Carga de Datos'!E2</f>
        <v>6.5</v>
      </c>
      <c r="I4" s="26" t="s">
        <v>36</v>
      </c>
      <c r="J4" s="29">
        <f>'Carga de Datos'!B4</f>
        <v>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44831</v>
      </c>
      <c r="C5" s="28" t="s">
        <v>1</v>
      </c>
      <c r="D5" s="31">
        <f>'Carga de Datos'!G2</f>
        <v>0.36805555555555558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3"/>
      <c r="B6" s="120"/>
      <c r="C6" s="120"/>
      <c r="D6" s="120"/>
      <c r="E6" s="120"/>
      <c r="F6" s="120"/>
      <c r="G6" s="120"/>
      <c r="H6" s="120"/>
      <c r="I6" s="120"/>
      <c r="J6" s="120"/>
      <c r="K6" s="4"/>
      <c r="L6" s="4"/>
      <c r="M6" s="4"/>
      <c r="N6" s="4"/>
    </row>
    <row r="7" spans="1:14" ht="42" customHeight="1" x14ac:dyDescent="0.25">
      <c r="A7" s="110" t="s">
        <v>6</v>
      </c>
      <c r="B7" s="111"/>
      <c r="C7" s="111"/>
      <c r="D7" s="111"/>
      <c r="E7" s="111"/>
      <c r="F7" s="111"/>
      <c r="G7" s="111"/>
      <c r="H7" s="111"/>
      <c r="I7" s="111"/>
      <c r="J7" s="111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0</v>
      </c>
      <c r="C9" s="9"/>
      <c r="D9" s="9"/>
      <c r="E9" s="10">
        <f>'Carga de Datos'!H6</f>
        <v>0</v>
      </c>
      <c r="F9" s="21">
        <f>'Carga de Datos'!I6</f>
        <v>0</v>
      </c>
      <c r="G9" s="32">
        <f>'Carga de Datos'!C6</f>
        <v>0</v>
      </c>
      <c r="H9" s="4"/>
      <c r="I9" s="4"/>
      <c r="J9" s="9"/>
    </row>
    <row r="10" spans="1:14" x14ac:dyDescent="0.25">
      <c r="A10" s="103"/>
      <c r="B10" s="107">
        <f>'Carga de Datos'!F6</f>
        <v>0</v>
      </c>
      <c r="C10" s="107"/>
      <c r="D10" s="107"/>
      <c r="E10" s="107"/>
      <c r="F10" s="103"/>
      <c r="G10" s="114"/>
      <c r="H10" s="116"/>
      <c r="I10" s="103"/>
      <c r="J10" s="103"/>
    </row>
    <row r="11" spans="1:14" ht="15.75" thickBot="1" x14ac:dyDescent="0.3">
      <c r="A11" s="104"/>
      <c r="B11" s="113">
        <f>'Carga de Datos'!G6</f>
        <v>0</v>
      </c>
      <c r="C11" s="113"/>
      <c r="D11" s="113"/>
      <c r="E11" s="113"/>
      <c r="F11" s="104"/>
      <c r="G11" s="115"/>
      <c r="H11" s="117"/>
      <c r="I11" s="104"/>
      <c r="J11" s="104"/>
    </row>
    <row r="12" spans="1:14" ht="15.75" x14ac:dyDescent="0.25">
      <c r="A12" s="8" t="s">
        <v>18</v>
      </c>
      <c r="B12" s="33">
        <f>'Carga de Datos'!B7</f>
        <v>0</v>
      </c>
      <c r="C12" s="9"/>
      <c r="D12" s="9"/>
      <c r="E12" s="10">
        <f>'Carga de Datos'!H7</f>
        <v>0</v>
      </c>
      <c r="F12" s="21">
        <f>'Carga de Datos'!I7</f>
        <v>0</v>
      </c>
      <c r="G12" s="32">
        <f>'Carga de Datos'!C7</f>
        <v>0</v>
      </c>
      <c r="H12" s="4"/>
      <c r="I12" s="4"/>
      <c r="J12" s="9"/>
    </row>
    <row r="13" spans="1:14" ht="15" customHeight="1" x14ac:dyDescent="0.25">
      <c r="A13" s="103"/>
      <c r="B13" s="107">
        <f>'Carga de Datos'!F7</f>
        <v>0</v>
      </c>
      <c r="C13" s="107"/>
      <c r="D13" s="107"/>
      <c r="E13" s="107"/>
      <c r="F13" s="103"/>
      <c r="G13" s="114"/>
      <c r="H13" s="116"/>
      <c r="I13" s="103"/>
      <c r="J13" s="103"/>
    </row>
    <row r="14" spans="1:14" ht="15.75" customHeight="1" thickBot="1" x14ac:dyDescent="0.3">
      <c r="A14" s="104"/>
      <c r="B14" s="113">
        <f>'Carga de Datos'!G7</f>
        <v>0</v>
      </c>
      <c r="C14" s="113"/>
      <c r="D14" s="113"/>
      <c r="E14" s="113"/>
      <c r="F14" s="104"/>
      <c r="G14" s="115"/>
      <c r="H14" s="117"/>
      <c r="I14" s="104"/>
      <c r="J14" s="104"/>
    </row>
    <row r="15" spans="1:14" ht="15.75" x14ac:dyDescent="0.25">
      <c r="A15" s="8" t="s">
        <v>19</v>
      </c>
      <c r="B15" s="33">
        <f>'Carga de Datos'!B8</f>
        <v>0</v>
      </c>
      <c r="C15" s="9"/>
      <c r="D15" s="9"/>
      <c r="E15" s="10">
        <f>'Carga de Datos'!H8</f>
        <v>0</v>
      </c>
      <c r="F15" s="21">
        <f>'Carga de Datos'!I8</f>
        <v>0</v>
      </c>
      <c r="G15" s="32">
        <f>'Carga de Datos'!C8</f>
        <v>0</v>
      </c>
      <c r="H15" s="4"/>
      <c r="I15" s="4"/>
      <c r="J15" s="9"/>
    </row>
    <row r="16" spans="1:14" ht="15" customHeight="1" x14ac:dyDescent="0.25">
      <c r="A16" s="103"/>
      <c r="B16" s="107">
        <f>'Carga de Datos'!F8</f>
        <v>0</v>
      </c>
      <c r="C16" s="107"/>
      <c r="D16" s="107"/>
      <c r="E16" s="107"/>
      <c r="F16" s="103"/>
      <c r="G16" s="114"/>
      <c r="H16" s="116"/>
      <c r="I16" s="103"/>
      <c r="J16" s="103"/>
    </row>
    <row r="17" spans="1:10" ht="15.75" customHeight="1" thickBot="1" x14ac:dyDescent="0.3">
      <c r="A17" s="104"/>
      <c r="B17" s="113">
        <f>'Carga de Datos'!G8</f>
        <v>0</v>
      </c>
      <c r="C17" s="113"/>
      <c r="D17" s="113"/>
      <c r="E17" s="113"/>
      <c r="F17" s="104"/>
      <c r="G17" s="115"/>
      <c r="H17" s="117"/>
      <c r="I17" s="104"/>
      <c r="J17" s="104"/>
    </row>
    <row r="18" spans="1:10" ht="15.75" x14ac:dyDescent="0.25">
      <c r="A18" s="8" t="s">
        <v>20</v>
      </c>
      <c r="B18" s="33">
        <f>'Carga de Datos'!B9</f>
        <v>0</v>
      </c>
      <c r="C18" s="9"/>
      <c r="D18" s="9"/>
      <c r="E18" s="10">
        <f>'Carga de Datos'!H9</f>
        <v>0</v>
      </c>
      <c r="F18" s="21">
        <f>'Carga de Datos'!I9</f>
        <v>0</v>
      </c>
      <c r="G18" s="32">
        <f>'Carga de Datos'!C9</f>
        <v>0</v>
      </c>
      <c r="H18" s="4"/>
      <c r="I18" s="4"/>
      <c r="J18" s="9"/>
    </row>
    <row r="19" spans="1:10" ht="15" customHeight="1" x14ac:dyDescent="0.25">
      <c r="A19" s="103"/>
      <c r="B19" s="107">
        <f>'Carga de Datos'!F9</f>
        <v>0</v>
      </c>
      <c r="C19" s="107"/>
      <c r="D19" s="107"/>
      <c r="E19" s="107"/>
      <c r="F19" s="103"/>
      <c r="G19" s="114"/>
      <c r="H19" s="116"/>
      <c r="I19" s="103"/>
      <c r="J19" s="103"/>
    </row>
    <row r="20" spans="1:10" ht="15.75" customHeight="1" thickBot="1" x14ac:dyDescent="0.3">
      <c r="A20" s="104"/>
      <c r="B20" s="113">
        <f>'Carga de Datos'!G9</f>
        <v>0</v>
      </c>
      <c r="C20" s="113"/>
      <c r="D20" s="113"/>
      <c r="E20" s="113"/>
      <c r="F20" s="104"/>
      <c r="G20" s="115"/>
      <c r="H20" s="117"/>
      <c r="I20" s="104"/>
      <c r="J20" s="104"/>
    </row>
    <row r="21" spans="1:10" ht="15.75" x14ac:dyDescent="0.25">
      <c r="A21" s="8" t="s">
        <v>21</v>
      </c>
      <c r="B21" s="33">
        <f>'Carga de Datos'!B10</f>
        <v>0</v>
      </c>
      <c r="C21" s="9"/>
      <c r="D21" s="9"/>
      <c r="E21" s="10">
        <f>'Carga de Datos'!H10</f>
        <v>0</v>
      </c>
      <c r="F21" s="21">
        <f>'Carga de Datos'!I10</f>
        <v>0</v>
      </c>
      <c r="G21" s="32">
        <f>'Carga de Datos'!C10</f>
        <v>0</v>
      </c>
      <c r="H21" s="4"/>
      <c r="I21" s="4"/>
      <c r="J21" s="9"/>
    </row>
    <row r="22" spans="1:10" ht="15" customHeight="1" x14ac:dyDescent="0.25">
      <c r="A22" s="103"/>
      <c r="B22" s="107">
        <f>'Carga de Datos'!F10</f>
        <v>0</v>
      </c>
      <c r="C22" s="107"/>
      <c r="D22" s="107"/>
      <c r="E22" s="107"/>
      <c r="F22" s="103"/>
      <c r="G22" s="114"/>
      <c r="H22" s="116"/>
      <c r="I22" s="103"/>
      <c r="J22" s="103"/>
    </row>
    <row r="23" spans="1:10" ht="15.75" customHeight="1" thickBot="1" x14ac:dyDescent="0.3">
      <c r="A23" s="104"/>
      <c r="B23" s="113">
        <f>'Carga de Datos'!G10</f>
        <v>0</v>
      </c>
      <c r="C23" s="113"/>
      <c r="D23" s="113"/>
      <c r="E23" s="113"/>
      <c r="F23" s="104"/>
      <c r="G23" s="115"/>
      <c r="H23" s="117"/>
      <c r="I23" s="104"/>
      <c r="J23" s="104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103"/>
      <c r="B25" s="107">
        <f>'Carga de Datos'!F11</f>
        <v>0</v>
      </c>
      <c r="C25" s="107"/>
      <c r="D25" s="107"/>
      <c r="E25" s="107"/>
      <c r="F25" s="103"/>
      <c r="G25" s="114"/>
      <c r="H25" s="116"/>
      <c r="I25" s="103"/>
      <c r="J25" s="103"/>
    </row>
    <row r="26" spans="1:10" ht="15.75" thickBot="1" x14ac:dyDescent="0.3">
      <c r="A26" s="104"/>
      <c r="B26" s="113">
        <f>'Carga de Datos'!G11</f>
        <v>0</v>
      </c>
      <c r="C26" s="113"/>
      <c r="D26" s="113"/>
      <c r="E26" s="113"/>
      <c r="F26" s="104"/>
      <c r="G26" s="115"/>
      <c r="H26" s="117"/>
      <c r="I26" s="104"/>
      <c r="J26" s="104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103"/>
      <c r="B28" s="107">
        <f>'Carga de Datos'!F12</f>
        <v>0</v>
      </c>
      <c r="C28" s="107"/>
      <c r="D28" s="107"/>
      <c r="E28" s="107"/>
      <c r="F28" s="103"/>
      <c r="G28" s="114"/>
      <c r="H28" s="116"/>
      <c r="I28" s="103"/>
      <c r="J28" s="103"/>
    </row>
    <row r="29" spans="1:10" ht="15.75" thickBot="1" x14ac:dyDescent="0.3">
      <c r="A29" s="104"/>
      <c r="B29" s="113">
        <f>'Carga de Datos'!G12</f>
        <v>0</v>
      </c>
      <c r="C29" s="113"/>
      <c r="D29" s="113"/>
      <c r="E29" s="113"/>
      <c r="F29" s="104"/>
      <c r="G29" s="115"/>
      <c r="H29" s="117"/>
      <c r="I29" s="104"/>
      <c r="J29" s="104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05"/>
      <c r="B31" s="107">
        <f>'Carga de Datos'!F13</f>
        <v>0</v>
      </c>
      <c r="C31" s="107"/>
      <c r="D31" s="107"/>
      <c r="E31" s="107"/>
      <c r="F31" s="103"/>
      <c r="G31" s="114"/>
      <c r="H31" s="116"/>
      <c r="I31" s="103"/>
      <c r="J31" s="103"/>
    </row>
    <row r="32" spans="1:10" ht="15.75" thickBot="1" x14ac:dyDescent="0.3">
      <c r="A32" s="106"/>
      <c r="B32" s="113">
        <f>'Carga de Datos'!G13</f>
        <v>0</v>
      </c>
      <c r="C32" s="113"/>
      <c r="D32" s="113"/>
      <c r="E32" s="113"/>
      <c r="F32" s="104"/>
      <c r="G32" s="115"/>
      <c r="H32" s="117"/>
      <c r="I32" s="104"/>
      <c r="J32" s="104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05"/>
      <c r="B34" s="107">
        <f>'Carga de Datos'!F14</f>
        <v>0</v>
      </c>
      <c r="C34" s="107"/>
      <c r="D34" s="107"/>
      <c r="E34" s="107"/>
      <c r="F34" s="103"/>
      <c r="G34" s="114"/>
      <c r="H34" s="116"/>
      <c r="I34" s="103"/>
      <c r="J34" s="103"/>
    </row>
    <row r="35" spans="1:14" ht="15.75" thickBot="1" x14ac:dyDescent="0.3">
      <c r="A35" s="106"/>
      <c r="B35" s="113">
        <f>'Carga de Datos'!G14</f>
        <v>0</v>
      </c>
      <c r="C35" s="113"/>
      <c r="D35" s="113"/>
      <c r="E35" s="113"/>
      <c r="F35" s="104"/>
      <c r="G35" s="115"/>
      <c r="H35" s="117"/>
      <c r="I35" s="104"/>
      <c r="J35" s="104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05"/>
      <c r="B37" s="107">
        <f>'Carga de Datos'!F15</f>
        <v>0</v>
      </c>
      <c r="C37" s="107"/>
      <c r="D37" s="107"/>
      <c r="E37" s="107"/>
      <c r="F37" s="103"/>
      <c r="G37" s="114"/>
      <c r="H37" s="116"/>
      <c r="I37" s="103"/>
      <c r="J37" s="103"/>
    </row>
    <row r="38" spans="1:14" ht="15.75" thickBot="1" x14ac:dyDescent="0.3">
      <c r="A38" s="106"/>
      <c r="B38" s="113">
        <f>'Carga de Datos'!G15</f>
        <v>0</v>
      </c>
      <c r="C38" s="113"/>
      <c r="D38" s="113"/>
      <c r="E38" s="113"/>
      <c r="F38" s="104"/>
      <c r="G38" s="115"/>
      <c r="H38" s="117"/>
      <c r="I38" s="104"/>
      <c r="J38" s="104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18"/>
      <c r="B40" s="107">
        <f>'Carga de Datos'!F16</f>
        <v>0</v>
      </c>
      <c r="C40" s="107"/>
      <c r="D40" s="107"/>
      <c r="E40" s="107"/>
      <c r="F40" s="103"/>
      <c r="G40" s="114"/>
      <c r="H40" s="116"/>
      <c r="I40" s="103"/>
      <c r="J40" s="103"/>
    </row>
    <row r="41" spans="1:14" ht="15.75" thickBot="1" x14ac:dyDescent="0.3">
      <c r="A41" s="119"/>
      <c r="B41" s="113">
        <f>'Carga de Datos'!G16</f>
        <v>0</v>
      </c>
      <c r="C41" s="113"/>
      <c r="D41" s="113"/>
      <c r="E41" s="113"/>
      <c r="F41" s="104"/>
      <c r="G41" s="115"/>
      <c r="H41" s="117"/>
      <c r="I41" s="104"/>
      <c r="J41" s="104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18"/>
      <c r="B43" s="107">
        <f>'Carga de Datos'!F17</f>
        <v>0</v>
      </c>
      <c r="C43" s="107"/>
      <c r="D43" s="107"/>
      <c r="E43" s="107"/>
      <c r="F43" s="103"/>
      <c r="G43" s="114"/>
      <c r="H43" s="116"/>
      <c r="I43" s="103"/>
      <c r="J43" s="103"/>
    </row>
    <row r="44" spans="1:14" ht="16.5" thickBot="1" x14ac:dyDescent="0.3">
      <c r="A44" s="119"/>
      <c r="B44" s="113">
        <f>'Carga de Datos'!G17</f>
        <v>0</v>
      </c>
      <c r="C44" s="113"/>
      <c r="D44" s="113"/>
      <c r="E44" s="113"/>
      <c r="F44" s="104"/>
      <c r="G44" s="115"/>
      <c r="H44" s="117"/>
      <c r="I44" s="104"/>
      <c r="J44" s="104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18"/>
      <c r="B46" s="107">
        <f>'Carga de Datos'!F18</f>
        <v>0</v>
      </c>
      <c r="C46" s="107"/>
      <c r="D46" s="107"/>
      <c r="E46" s="107"/>
      <c r="F46" s="103"/>
      <c r="G46" s="114"/>
      <c r="H46" s="116"/>
      <c r="I46" s="103"/>
      <c r="J46" s="103"/>
      <c r="K46" s="4"/>
      <c r="L46" s="4"/>
      <c r="M46" s="4"/>
      <c r="N46" s="4"/>
    </row>
    <row r="47" spans="1:14" ht="15.75" thickBot="1" x14ac:dyDescent="0.3">
      <c r="A47" s="119"/>
      <c r="B47" s="113">
        <f>'Carga de Datos'!G18</f>
        <v>0</v>
      </c>
      <c r="C47" s="113"/>
      <c r="D47" s="113"/>
      <c r="E47" s="113"/>
      <c r="F47" s="104"/>
      <c r="G47" s="115"/>
      <c r="H47" s="117"/>
      <c r="I47" s="104"/>
      <c r="J47" s="104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18"/>
      <c r="B49" s="107">
        <f>'Carga de Datos'!F19</f>
        <v>0</v>
      </c>
      <c r="C49" s="107"/>
      <c r="D49" s="107"/>
      <c r="E49" s="107"/>
      <c r="F49" s="103"/>
      <c r="G49" s="114"/>
      <c r="H49" s="116"/>
      <c r="I49" s="103"/>
      <c r="J49" s="103"/>
    </row>
    <row r="50" spans="1:10" ht="15.75" thickBot="1" x14ac:dyDescent="0.3">
      <c r="A50" s="119"/>
      <c r="B50" s="113">
        <f>'Carga de Datos'!G19</f>
        <v>0</v>
      </c>
      <c r="C50" s="113"/>
      <c r="D50" s="113"/>
      <c r="E50" s="113"/>
      <c r="F50" s="104"/>
      <c r="G50" s="115"/>
      <c r="H50" s="117"/>
      <c r="I50" s="104"/>
      <c r="J50" s="104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18"/>
      <c r="B52" s="107">
        <f>'Carga de Datos'!F20</f>
        <v>0</v>
      </c>
      <c r="C52" s="107"/>
      <c r="D52" s="107"/>
      <c r="E52" s="107"/>
      <c r="F52" s="103"/>
      <c r="G52" s="114"/>
      <c r="H52" s="116"/>
      <c r="I52" s="103"/>
      <c r="J52" s="103"/>
    </row>
    <row r="53" spans="1:10" ht="15.75" thickBot="1" x14ac:dyDescent="0.3">
      <c r="A53" s="119"/>
      <c r="B53" s="113">
        <f>'Carga de Datos'!G20</f>
        <v>0</v>
      </c>
      <c r="C53" s="113"/>
      <c r="D53" s="113"/>
      <c r="E53" s="113"/>
      <c r="F53" s="104"/>
      <c r="G53" s="115"/>
      <c r="H53" s="117"/>
      <c r="I53" s="104"/>
      <c r="J53" s="104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18"/>
      <c r="B55" s="107">
        <f>'Carga de Datos'!F21</f>
        <v>0</v>
      </c>
      <c r="C55" s="107"/>
      <c r="D55" s="107"/>
      <c r="E55" s="107"/>
      <c r="F55" s="103"/>
      <c r="G55" s="114"/>
      <c r="H55" s="116"/>
      <c r="I55" s="103"/>
      <c r="J55" s="103"/>
    </row>
    <row r="56" spans="1:10" ht="15.75" thickBot="1" x14ac:dyDescent="0.3">
      <c r="A56" s="119"/>
      <c r="B56" s="113">
        <f>'Carga de Datos'!G21</f>
        <v>0</v>
      </c>
      <c r="C56" s="113"/>
      <c r="D56" s="113"/>
      <c r="E56" s="113"/>
      <c r="F56" s="104"/>
      <c r="G56" s="115"/>
      <c r="H56" s="117"/>
      <c r="I56" s="104"/>
      <c r="J56" s="104"/>
    </row>
  </sheetData>
  <mergeCells count="118"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opLeftCell="A2" zoomScale="68" zoomScaleNormal="68" zoomScaleSheetLayoutView="85" workbookViewId="0">
      <selection activeCell="B47" sqref="B47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67" t="s">
        <v>48</v>
      </c>
      <c r="D2" s="167"/>
      <c r="E2" s="167"/>
      <c r="F2" s="167"/>
      <c r="G2" s="167"/>
      <c r="H2" s="167"/>
      <c r="J2" s="39"/>
    </row>
    <row r="3" spans="1:17" ht="21" thickBot="1" x14ac:dyDescent="0.35">
      <c r="A3" s="38"/>
      <c r="H3" s="40"/>
      <c r="I3" s="99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68"/>
      <c r="H4" s="169"/>
      <c r="I4" s="100">
        <f>'Carga de Datos'!G1</f>
        <v>44831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55" t="s">
        <v>49</v>
      </c>
      <c r="E6" s="156"/>
      <c r="F6" s="41"/>
      <c r="G6" s="41"/>
      <c r="H6" s="170" t="s">
        <v>76</v>
      </c>
      <c r="I6" s="156"/>
      <c r="J6" s="39"/>
    </row>
    <row r="7" spans="1:17" s="48" customFormat="1" ht="27" customHeight="1" thickBot="1" x14ac:dyDescent="0.3">
      <c r="A7" s="44"/>
      <c r="B7" s="98"/>
      <c r="C7" s="45"/>
      <c r="D7" s="157">
        <f>G59</f>
        <v>0</v>
      </c>
      <c r="E7" s="171"/>
      <c r="F7" s="46"/>
      <c r="G7" s="45"/>
      <c r="H7" s="157"/>
      <c r="I7" s="171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55" t="s">
        <v>75</v>
      </c>
      <c r="I8" s="156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57"/>
      <c r="I9" s="158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59" t="s">
        <v>51</v>
      </c>
      <c r="F10" s="160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61" t="s">
        <v>53</v>
      </c>
      <c r="F11" s="162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63"/>
      <c r="E13" s="164"/>
      <c r="F13" s="165"/>
      <c r="G13" s="41"/>
      <c r="H13" s="166"/>
      <c r="I13" s="165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45">
        <f>I4+1</f>
        <v>44832</v>
      </c>
      <c r="E14" s="146"/>
      <c r="F14" s="147"/>
      <c r="G14" s="45"/>
      <c r="H14" s="148"/>
      <c r="I14" s="149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50"/>
      <c r="C16" s="151"/>
      <c r="D16" s="151"/>
      <c r="E16" s="151"/>
      <c r="F16" s="151"/>
      <c r="G16" s="151"/>
      <c r="H16" s="151"/>
      <c r="I16" s="152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53" t="s">
        <v>56</v>
      </c>
      <c r="F17" s="153"/>
      <c r="G17" s="153"/>
      <c r="H17" s="153"/>
      <c r="I17" s="154"/>
      <c r="J17" s="39"/>
    </row>
    <row r="18" spans="1:10" ht="24.75" customHeight="1" thickBot="1" x14ac:dyDescent="0.3">
      <c r="A18" s="38"/>
      <c r="B18" s="64" t="s">
        <v>57</v>
      </c>
      <c r="C18" s="65"/>
      <c r="D18" s="66"/>
      <c r="E18" s="132"/>
      <c r="F18" s="132"/>
      <c r="G18" s="132"/>
      <c r="H18" s="133"/>
      <c r="I18" s="134"/>
      <c r="J18" s="39"/>
    </row>
    <row r="19" spans="1:10" ht="24.75" customHeight="1" thickBot="1" x14ac:dyDescent="0.3">
      <c r="A19" s="38"/>
      <c r="B19" s="64" t="s">
        <v>58</v>
      </c>
      <c r="C19" s="65"/>
      <c r="D19" s="66"/>
      <c r="E19" s="132"/>
      <c r="F19" s="132"/>
      <c r="G19" s="132"/>
      <c r="H19" s="133"/>
      <c r="I19" s="134"/>
      <c r="J19" s="39"/>
    </row>
    <row r="20" spans="1:10" ht="24.75" customHeight="1" thickBot="1" x14ac:dyDescent="0.3">
      <c r="A20" s="38"/>
      <c r="B20" s="64" t="s">
        <v>59</v>
      </c>
      <c r="C20" s="65"/>
      <c r="D20" s="66"/>
      <c r="E20" s="141"/>
      <c r="F20" s="142"/>
      <c r="G20" s="142"/>
      <c r="H20" s="143"/>
      <c r="I20" s="144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32"/>
      <c r="F21" s="132"/>
      <c r="G21" s="132"/>
      <c r="H21" s="133"/>
      <c r="I21" s="134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32"/>
      <c r="F22" s="132"/>
      <c r="G22" s="132"/>
      <c r="H22" s="133"/>
      <c r="I22" s="134"/>
      <c r="J22" s="39"/>
    </row>
    <row r="23" spans="1:10" ht="19.5" customHeight="1" thickBot="1" x14ac:dyDescent="0.3">
      <c r="A23" s="38"/>
      <c r="B23" s="64" t="s">
        <v>62</v>
      </c>
      <c r="C23" s="65"/>
      <c r="D23" s="66"/>
      <c r="E23" s="135"/>
      <c r="F23" s="136"/>
      <c r="G23" s="136"/>
      <c r="H23" s="136"/>
      <c r="I23" s="137"/>
      <c r="J23" s="39"/>
    </row>
    <row r="24" spans="1:10" ht="19.5" customHeight="1" thickBot="1" x14ac:dyDescent="0.3">
      <c r="A24" s="38"/>
      <c r="B24" s="64" t="s">
        <v>63</v>
      </c>
      <c r="C24" s="67"/>
      <c r="D24" s="66"/>
      <c r="E24" s="135"/>
      <c r="F24" s="136"/>
      <c r="G24" s="136"/>
      <c r="H24" s="136"/>
      <c r="I24" s="137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38" t="s">
        <v>65</v>
      </c>
      <c r="D26" s="138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39"/>
      <c r="J27" s="140"/>
    </row>
    <row r="28" spans="1:10" ht="15" customHeight="1" x14ac:dyDescent="0.25">
      <c r="A28" s="38"/>
      <c r="B28" s="73"/>
      <c r="C28" s="121"/>
      <c r="D28" s="122"/>
      <c r="E28" s="74"/>
      <c r="F28" s="74"/>
      <c r="G28" s="74"/>
      <c r="H28" s="74"/>
      <c r="I28" s="92"/>
      <c r="J28" s="39"/>
    </row>
    <row r="29" spans="1:10" ht="15" customHeight="1" x14ac:dyDescent="0.25">
      <c r="A29" s="38"/>
      <c r="B29" s="76"/>
      <c r="C29" s="121"/>
      <c r="D29" s="122"/>
      <c r="E29" s="74"/>
      <c r="F29" s="74"/>
      <c r="G29" s="74"/>
      <c r="H29" s="74"/>
      <c r="I29" s="75"/>
      <c r="J29" s="39"/>
    </row>
    <row r="30" spans="1:10" ht="15" customHeight="1" x14ac:dyDescent="0.25">
      <c r="A30" s="38"/>
      <c r="B30" s="76"/>
      <c r="C30" s="121"/>
      <c r="D30" s="122"/>
      <c r="E30" s="74"/>
      <c r="F30" s="74"/>
      <c r="G30" s="74"/>
      <c r="H30" s="74"/>
      <c r="I30" s="75"/>
      <c r="J30" s="39"/>
    </row>
    <row r="31" spans="1:10" ht="15" customHeight="1" x14ac:dyDescent="0.25">
      <c r="A31" s="38"/>
      <c r="B31" s="76"/>
      <c r="C31" s="121"/>
      <c r="D31" s="122"/>
      <c r="E31" s="74"/>
      <c r="F31" s="74"/>
      <c r="G31" s="74"/>
      <c r="H31" s="74"/>
      <c r="I31" s="75"/>
      <c r="J31" s="90"/>
    </row>
    <row r="32" spans="1:10" ht="15" customHeight="1" x14ac:dyDescent="0.25">
      <c r="A32" s="38"/>
      <c r="B32" s="76"/>
      <c r="C32" s="121"/>
      <c r="D32" s="122"/>
      <c r="E32" s="74"/>
      <c r="F32" s="74"/>
      <c r="G32" s="74"/>
      <c r="H32" s="74"/>
      <c r="I32" s="75"/>
      <c r="J32" s="39"/>
    </row>
    <row r="33" spans="1:10" ht="15" customHeight="1" x14ac:dyDescent="0.25">
      <c r="A33" s="38"/>
      <c r="B33" s="76"/>
      <c r="C33" s="121"/>
      <c r="D33" s="122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21"/>
      <c r="D34" s="122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23"/>
      <c r="D35" s="124"/>
      <c r="E35" s="74"/>
      <c r="F35" s="74"/>
      <c r="G35" s="74"/>
      <c r="H35" s="74"/>
      <c r="I35" s="94"/>
      <c r="J35" s="39"/>
    </row>
    <row r="36" spans="1:10" ht="15" customHeight="1" x14ac:dyDescent="0.25">
      <c r="A36" s="38"/>
      <c r="B36" s="76"/>
      <c r="C36" s="121"/>
      <c r="D36" s="122"/>
      <c r="E36" s="74"/>
      <c r="F36" s="74"/>
      <c r="G36" s="74"/>
      <c r="H36" s="74"/>
      <c r="I36" s="75"/>
      <c r="J36" s="39"/>
    </row>
    <row r="37" spans="1:10" ht="15" customHeight="1" x14ac:dyDescent="0.25">
      <c r="A37" s="38"/>
      <c r="B37" s="76"/>
      <c r="C37" s="121"/>
      <c r="D37" s="122"/>
      <c r="E37" s="74"/>
      <c r="F37" s="74"/>
      <c r="G37" s="74"/>
      <c r="H37" s="74"/>
      <c r="I37" s="75"/>
      <c r="J37" s="90"/>
    </row>
    <row r="38" spans="1:10" ht="15" customHeight="1" x14ac:dyDescent="0.25">
      <c r="A38" s="38"/>
      <c r="B38" s="76"/>
      <c r="C38" s="121"/>
      <c r="D38" s="122"/>
      <c r="E38" s="74"/>
      <c r="F38" s="74"/>
      <c r="G38" s="74"/>
      <c r="H38" s="74"/>
      <c r="I38" s="75"/>
      <c r="J38" s="39"/>
    </row>
    <row r="39" spans="1:10" ht="15" customHeight="1" x14ac:dyDescent="0.25">
      <c r="A39" s="38"/>
      <c r="B39" s="76"/>
      <c r="C39" s="121"/>
      <c r="D39" s="122"/>
      <c r="E39" s="74"/>
      <c r="F39" s="74"/>
      <c r="G39" s="74"/>
      <c r="H39" s="74"/>
      <c r="I39" s="75"/>
      <c r="J39" s="39"/>
    </row>
    <row r="40" spans="1:10" ht="15" customHeight="1" x14ac:dyDescent="0.25">
      <c r="A40" s="38"/>
      <c r="B40" s="76"/>
      <c r="C40" s="121"/>
      <c r="D40" s="122"/>
      <c r="E40" s="74"/>
      <c r="F40" s="74"/>
      <c r="G40" s="74"/>
      <c r="H40" s="74"/>
      <c r="I40" s="75"/>
      <c r="J40" s="39"/>
    </row>
    <row r="41" spans="1:10" ht="15" customHeight="1" x14ac:dyDescent="0.25">
      <c r="A41" s="38"/>
      <c r="B41" s="76"/>
      <c r="C41" s="121"/>
      <c r="D41" s="122"/>
      <c r="E41" s="74"/>
      <c r="F41" s="74"/>
      <c r="G41" s="74"/>
      <c r="H41" s="74"/>
      <c r="I41" s="75"/>
      <c r="J41" s="39"/>
    </row>
    <row r="42" spans="1:10" ht="15" customHeight="1" x14ac:dyDescent="0.25">
      <c r="A42" s="38"/>
      <c r="B42" s="76"/>
      <c r="C42" s="121"/>
      <c r="D42" s="122"/>
      <c r="E42" s="74"/>
      <c r="F42" s="74"/>
      <c r="G42" s="74"/>
      <c r="H42" s="74"/>
      <c r="I42" s="75"/>
      <c r="J42" s="39"/>
    </row>
    <row r="43" spans="1:10" ht="15" customHeight="1" x14ac:dyDescent="0.25">
      <c r="A43" s="38"/>
      <c r="B43" s="76"/>
      <c r="C43" s="121"/>
      <c r="D43" s="122"/>
      <c r="E43" s="74"/>
      <c r="F43" s="74"/>
      <c r="G43" s="74"/>
      <c r="H43" s="74"/>
      <c r="I43" s="75"/>
      <c r="J43" s="39"/>
    </row>
    <row r="44" spans="1:10" ht="15" customHeight="1" x14ac:dyDescent="0.25">
      <c r="A44" s="38"/>
      <c r="B44" s="76"/>
      <c r="C44" s="121"/>
      <c r="D44" s="122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21"/>
      <c r="D45" s="122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21"/>
      <c r="D46" s="122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21"/>
      <c r="D47" s="122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21"/>
      <c r="D48" s="122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21"/>
      <c r="D49" s="122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21"/>
      <c r="D50" s="122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21"/>
      <c r="D51" s="122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21"/>
      <c r="D52" s="122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21"/>
      <c r="D53" s="122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21"/>
      <c r="D54" s="122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21"/>
      <c r="D55" s="122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21"/>
      <c r="D56" s="122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21"/>
      <c r="D57" s="122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26"/>
      <c r="D58" s="126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25" t="s">
        <v>70</v>
      </c>
      <c r="D59" s="125"/>
      <c r="E59" s="89"/>
      <c r="F59" s="89"/>
      <c r="G59" s="89">
        <f>SUM(G28:G58)</f>
        <v>0</v>
      </c>
      <c r="H59" s="89">
        <f>SUM(H28:H58)</f>
        <v>0</v>
      </c>
      <c r="I59" s="87"/>
      <c r="J59" s="39"/>
    </row>
    <row r="60" spans="1:10" ht="15" customHeight="1" x14ac:dyDescent="0.2">
      <c r="A60" s="38"/>
      <c r="B60" s="73"/>
      <c r="C60" s="125"/>
      <c r="D60" s="125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27" t="s">
        <v>71</v>
      </c>
      <c r="C61" s="128"/>
      <c r="D61" s="128"/>
      <c r="E61" s="128"/>
      <c r="F61" s="128"/>
      <c r="G61" s="128"/>
      <c r="H61" s="128"/>
      <c r="I61" s="129"/>
      <c r="J61" s="39"/>
    </row>
    <row r="62" spans="1:10" ht="15" customHeight="1" x14ac:dyDescent="0.2">
      <c r="A62" s="38"/>
      <c r="B62" s="73"/>
      <c r="C62" s="130"/>
      <c r="D62" s="131"/>
      <c r="E62" s="74"/>
      <c r="F62" s="74"/>
      <c r="G62" s="74"/>
      <c r="H62" s="74"/>
      <c r="I62" s="83"/>
      <c r="J62" s="39"/>
    </row>
    <row r="63" spans="1:10" ht="15" customHeight="1" x14ac:dyDescent="0.2">
      <c r="A63" s="38"/>
      <c r="B63" s="73"/>
      <c r="C63" s="125"/>
      <c r="D63" s="125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25"/>
      <c r="D64" s="125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25"/>
      <c r="D65" s="125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25"/>
      <c r="D66" s="125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25"/>
      <c r="D67" s="125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25"/>
      <c r="D68" s="125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25"/>
      <c r="D69" s="125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2:H2"/>
    <mergeCell ref="G4:H4"/>
    <mergeCell ref="D6:E6"/>
    <mergeCell ref="H6:I6"/>
    <mergeCell ref="D7:E7"/>
    <mergeCell ref="H7:I7"/>
    <mergeCell ref="H8:I8"/>
    <mergeCell ref="H9:I9"/>
    <mergeCell ref="E10:F10"/>
    <mergeCell ref="E11:F11"/>
    <mergeCell ref="D13:F13"/>
    <mergeCell ref="H13:I13"/>
    <mergeCell ref="D14:F14"/>
    <mergeCell ref="H14:I14"/>
    <mergeCell ref="B16:I16"/>
    <mergeCell ref="E17:I17"/>
    <mergeCell ref="E18:G18"/>
    <mergeCell ref="H18:I18"/>
    <mergeCell ref="E19:G19"/>
    <mergeCell ref="H19:I19"/>
    <mergeCell ref="E20:G20"/>
    <mergeCell ref="H20:I20"/>
    <mergeCell ref="E21:G21"/>
    <mergeCell ref="H21:I21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69:D69"/>
    <mergeCell ref="B61:I61"/>
    <mergeCell ref="C62:D62"/>
    <mergeCell ref="C63:D63"/>
    <mergeCell ref="C64:D64"/>
    <mergeCell ref="C65:D65"/>
    <mergeCell ref="C66:D66"/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2022-09-27T12:06:03Z</cp:lastPrinted>
  <dcterms:created xsi:type="dcterms:W3CDTF">2016-08-11T13:59:12Z</dcterms:created>
  <dcterms:modified xsi:type="dcterms:W3CDTF">2022-09-27T12:08:38Z</dcterms:modified>
</cp:coreProperties>
</file>