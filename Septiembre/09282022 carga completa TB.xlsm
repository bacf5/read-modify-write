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HL\Prealertas Recibidos\2022\09 - Septiembre\"/>
    </mc:Choice>
  </mc:AlternateContent>
  <xr:revisionPtr revIDLastSave="0" documentId="13_ncr:1_{A3E592F2-5851-4D4F-9AA3-CF77B7F903B9}" xr6:coauthVersionLast="47" xr6:coauthVersionMax="47" xr10:uidLastSave="{00000000-0000-0000-0000-000000000000}"/>
  <bookViews>
    <workbookView xWindow="-120" yWindow="-120" windowWidth="19440" windowHeight="15000" activeTab="3" xr2:uid="{00000000-000D-0000-FFFF-FFFF00000000}"/>
  </bookViews>
  <sheets>
    <sheet name="Carga de Datos" sheetId="4" r:id="rId1"/>
    <sheet name="Planilla Delivery" sheetId="3" r:id="rId2"/>
    <sheet name="Planilla Delivery PAS" sheetId="5" r:id="rId3"/>
    <sheet name="Manifiesto de carga" sheetId="6" r:id="rId4"/>
  </sheets>
  <definedNames>
    <definedName name="_xlnm.Print_Area" localSheetId="3">'Manifiesto de carga'!$A$1:$J$70</definedName>
    <definedName name="_xlnm.Print_Area" localSheetId="1">'Planilla Delivery'!$A$1:$J$53</definedName>
    <definedName name="_xlnm.Print_Area" localSheetId="2">'Planilla Delivery PAS'!$A$1:$J$53</definedName>
    <definedName name="DatosExternos_1" localSheetId="0">'Carga de Datos'!$B$1:$I$9</definedName>
    <definedName name="ENTRADA">#REF!</definedName>
    <definedName name="OLE_LINK1" localSheetId="1">'Planilla Delivery'!$A$2</definedName>
    <definedName name="OLE_LINK1" localSheetId="2">'Planilla Delivery PAS'!$A$2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3" l="1"/>
  <c r="B12" i="3"/>
  <c r="B13" i="3"/>
  <c r="I22" i="4" l="1"/>
  <c r="H22" i="4"/>
  <c r="F9" i="3" l="1"/>
  <c r="I4" i="6" l="1"/>
  <c r="D14" i="6" s="1"/>
  <c r="H59" i="6"/>
  <c r="G59" i="6"/>
  <c r="D7" i="6" s="1"/>
  <c r="B36" i="3" l="1"/>
  <c r="F39" i="3" l="1"/>
  <c r="B4" i="3" l="1"/>
  <c r="G54" i="5" l="1"/>
  <c r="F54" i="5"/>
  <c r="E54" i="5"/>
  <c r="G51" i="5"/>
  <c r="F51" i="5"/>
  <c r="E51" i="5"/>
  <c r="G48" i="5"/>
  <c r="F48" i="5"/>
  <c r="E48" i="5"/>
  <c r="G45" i="5"/>
  <c r="F45" i="5"/>
  <c r="E45" i="5"/>
  <c r="G42" i="5"/>
  <c r="F42" i="5"/>
  <c r="E42" i="5"/>
  <c r="G39" i="5"/>
  <c r="F39" i="5"/>
  <c r="E39" i="5"/>
  <c r="G36" i="5"/>
  <c r="F36" i="5"/>
  <c r="E36" i="5"/>
  <c r="G33" i="5"/>
  <c r="F33" i="5"/>
  <c r="E33" i="5"/>
  <c r="E30" i="5"/>
  <c r="F30" i="5"/>
  <c r="G30" i="5"/>
  <c r="G27" i="5"/>
  <c r="F27" i="5"/>
  <c r="E27" i="5"/>
  <c r="G24" i="5"/>
  <c r="F24" i="5"/>
  <c r="E24" i="5"/>
  <c r="G21" i="5"/>
  <c r="F21" i="5"/>
  <c r="E21" i="5"/>
  <c r="G18" i="5"/>
  <c r="F18" i="5"/>
  <c r="E18" i="5"/>
  <c r="F15" i="5"/>
  <c r="E15" i="5"/>
  <c r="G15" i="5"/>
  <c r="G12" i="5"/>
  <c r="F12" i="5"/>
  <c r="E12" i="5"/>
  <c r="G9" i="5"/>
  <c r="F9" i="5"/>
  <c r="E9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J4" i="5"/>
  <c r="D5" i="5"/>
  <c r="D4" i="5"/>
  <c r="A2" i="5"/>
  <c r="B5" i="5" s="1"/>
  <c r="D5" i="3"/>
  <c r="A2" i="3"/>
  <c r="B5" i="3" s="1"/>
  <c r="B47" i="3" l="1"/>
  <c r="G54" i="3"/>
  <c r="G51" i="3"/>
  <c r="G48" i="3"/>
  <c r="G45" i="3"/>
  <c r="G42" i="3"/>
  <c r="G39" i="3"/>
  <c r="G36" i="3"/>
  <c r="G33" i="3"/>
  <c r="G30" i="3"/>
  <c r="F48" i="3"/>
  <c r="F54" i="3"/>
  <c r="F51" i="3"/>
  <c r="F45" i="3"/>
  <c r="F42" i="3"/>
  <c r="F36" i="3"/>
  <c r="F33" i="3"/>
  <c r="F30" i="3"/>
  <c r="E54" i="3"/>
  <c r="E51" i="3"/>
  <c r="E48" i="3"/>
  <c r="E45" i="3"/>
  <c r="E42" i="3"/>
  <c r="E39" i="3"/>
  <c r="E36" i="3"/>
  <c r="E33" i="3"/>
  <c r="E30" i="3"/>
  <c r="B56" i="3"/>
  <c r="B55" i="3"/>
  <c r="B54" i="3"/>
  <c r="B53" i="3"/>
  <c r="B52" i="3"/>
  <c r="B51" i="3"/>
  <c r="B50" i="3"/>
  <c r="B49" i="3"/>
  <c r="B48" i="3"/>
  <c r="B46" i="3"/>
  <c r="B45" i="3"/>
  <c r="B44" i="3"/>
  <c r="B43" i="3"/>
  <c r="B42" i="3"/>
  <c r="B41" i="3"/>
  <c r="B40" i="3"/>
  <c r="B39" i="3"/>
  <c r="B38" i="3"/>
  <c r="B37" i="3"/>
  <c r="B35" i="3"/>
  <c r="B34" i="3"/>
  <c r="B33" i="3"/>
  <c r="B32" i="3"/>
  <c r="B31" i="3"/>
  <c r="B30" i="3"/>
  <c r="B29" i="3" l="1"/>
  <c r="B28" i="3"/>
  <c r="B27" i="3"/>
  <c r="B26" i="3"/>
  <c r="B25" i="3"/>
  <c r="B24" i="3"/>
  <c r="E27" i="3"/>
  <c r="F27" i="3"/>
  <c r="G27" i="3"/>
  <c r="G24" i="3"/>
  <c r="E24" i="3"/>
  <c r="F24" i="3"/>
  <c r="B23" i="3"/>
  <c r="B22" i="3"/>
  <c r="B21" i="3"/>
  <c r="G21" i="3"/>
  <c r="F21" i="3"/>
  <c r="E21" i="3"/>
  <c r="B20" i="3"/>
  <c r="B19" i="3"/>
  <c r="G18" i="3"/>
  <c r="F18" i="3"/>
  <c r="E18" i="3"/>
  <c r="B18" i="3"/>
  <c r="B17" i="3"/>
  <c r="B16" i="3"/>
  <c r="G15" i="3"/>
  <c r="F15" i="3"/>
  <c r="E15" i="3"/>
  <c r="B15" i="3"/>
  <c r="G12" i="3"/>
  <c r="F12" i="3"/>
  <c r="B14" i="3"/>
  <c r="D4" i="3" l="1"/>
  <c r="I41" i="4"/>
  <c r="H41" i="4"/>
  <c r="E2" i="4" l="1"/>
  <c r="E1" i="4"/>
  <c r="B9" i="3"/>
  <c r="G9" i="3"/>
  <c r="E9" i="3"/>
  <c r="B11" i="3"/>
  <c r="B10" i="3"/>
  <c r="J4" i="3"/>
  <c r="H4" i="5" l="1"/>
  <c r="H4" i="3"/>
  <c r="F4" i="3"/>
  <c r="F4" i="5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2" background="1" saveData="1">
    <webPr sourceData="1" parsePre="1" consecutive="1" xl2000="1" url="http://www.prealertas.com.ar/SAOPREALERTAS/SAOPrealertasWeb/Operaciones/Manifiesto.aspx?ord_serv=0212201306&amp;cod_cia=34&amp;origen=MTR&amp;destino=LUQ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<sst xmlns="http://schemas.openxmlformats.org/spreadsheetml/2006/main" count="213" uniqueCount="123">
  <si>
    <r>
      <t>DELIVERY SHEET</t>
    </r>
    <r>
      <rPr>
        <sz val="7.5"/>
        <color theme="1"/>
        <rFont val="Verdana"/>
        <family val="2"/>
      </rPr>
      <t>         </t>
    </r>
  </si>
  <si>
    <t>TIME:</t>
  </si>
  <si>
    <t>ROUTE:</t>
  </si>
  <si>
    <t>COURIER:</t>
  </si>
  <si>
    <t>STATION:</t>
  </si>
  <si>
    <t>MDZ</t>
  </si>
  <si>
    <t>The consignee declares that he/she has received the shipment(s) in good order and condition, and that he/she accepts our terms and conditions as defined on the airwaybill attached to the shipment</t>
  </si>
  <si>
    <t>No CKPT</t>
  </si>
  <si>
    <t>Airbill No</t>
  </si>
  <si>
    <t>Org</t>
  </si>
  <si>
    <t>Prod</t>
  </si>
  <si>
    <t>Pcs</t>
  </si>
  <si>
    <t>Weight</t>
  </si>
  <si>
    <t>P/U Date</t>
  </si>
  <si>
    <t>Amount</t>
  </si>
  <si>
    <t>Invoice</t>
  </si>
  <si>
    <t>Name/Coment</t>
  </si>
  <si>
    <t> 1</t>
  </si>
  <si>
    <t> 2</t>
  </si>
  <si>
    <t> 3</t>
  </si>
  <si>
    <t> 4</t>
  </si>
  <si>
    <t> 5</t>
  </si>
  <si>
    <t> 6</t>
  </si>
  <si>
    <t> 7</t>
  </si>
  <si>
    <t>AWB</t>
  </si>
  <si>
    <t>Prod.</t>
  </si>
  <si>
    <t>Origen</t>
  </si>
  <si>
    <t>Destino</t>
  </si>
  <si>
    <t>Cliente</t>
  </si>
  <si>
    <t>dirección Entrega</t>
  </si>
  <si>
    <t>Piezas</t>
  </si>
  <si>
    <t>Peso</t>
  </si>
  <si>
    <t>Direccion Entrega</t>
  </si>
  <si>
    <t>Transporte</t>
  </si>
  <si>
    <t>Remito</t>
  </si>
  <si>
    <t>Bultos</t>
  </si>
  <si>
    <t>Huca N°</t>
  </si>
  <si>
    <t>Total</t>
  </si>
  <si>
    <t>Hora</t>
  </si>
  <si>
    <t>Metrocarga</t>
  </si>
  <si>
    <t>Del. DATE:</t>
  </si>
  <si>
    <t>TRANSPORTE</t>
  </si>
  <si>
    <t>H CARUSO</t>
  </si>
  <si>
    <t>AWAITING CONSIGNEE COLLECTION</t>
  </si>
  <si>
    <t>Huca</t>
  </si>
  <si>
    <t>Fecha Retiro</t>
  </si>
  <si>
    <t>Fecha de Envio</t>
  </si>
  <si>
    <t>S/R</t>
  </si>
  <si>
    <t xml:space="preserve"> </t>
  </si>
  <si>
    <t>Kilos</t>
  </si>
  <si>
    <t>ORIGEN</t>
  </si>
  <si>
    <t>DESTINO</t>
  </si>
  <si>
    <t>LUQ</t>
  </si>
  <si>
    <t>BUE</t>
  </si>
  <si>
    <t xml:space="preserve">  </t>
  </si>
  <si>
    <t>PCS</t>
  </si>
  <si>
    <t>OBSERVACIONES / Nro de GUÍAS</t>
  </si>
  <si>
    <t>DOX INTERNACIONAL</t>
  </si>
  <si>
    <t>WPX INTERNACIONAL</t>
  </si>
  <si>
    <t>DOMESTICO</t>
  </si>
  <si>
    <t>SUMINISTROS</t>
  </si>
  <si>
    <t>FACTURAS</t>
  </si>
  <si>
    <t>ENVIOS INTERNOS</t>
  </si>
  <si>
    <t>OTROS</t>
  </si>
  <si>
    <t>Guía Nº</t>
  </si>
  <si>
    <t>BOLSA 1</t>
  </si>
  <si>
    <t>D</t>
  </si>
  <si>
    <t xml:space="preserve">C </t>
  </si>
  <si>
    <t>W</t>
  </si>
  <si>
    <t>B</t>
  </si>
  <si>
    <t>TOTAL</t>
  </si>
  <si>
    <t xml:space="preserve">Devoluciones                                                                                                                           </t>
  </si>
  <si>
    <t>TRANS-BAN SA</t>
  </si>
  <si>
    <t>MLX1</t>
  </si>
  <si>
    <t>TB</t>
  </si>
  <si>
    <t>FUERA DE BOLSA</t>
  </si>
  <si>
    <t>BOLSA</t>
  </si>
  <si>
    <t>N°  DE PRECINTO</t>
  </si>
  <si>
    <t>WPX</t>
  </si>
  <si>
    <t>HKG</t>
  </si>
  <si>
    <t>Lucas Leonel Escudero</t>
  </si>
  <si>
    <t>Bolivar 1242 Depto 20 - SL</t>
  </si>
  <si>
    <t>DOM</t>
  </si>
  <si>
    <t>Colgate Palmolive Argentina S.A.</t>
  </si>
  <si>
    <t>Calle 5 y 105 - SL</t>
  </si>
  <si>
    <t>DOX</t>
  </si>
  <si>
    <t>PNQ</t>
  </si>
  <si>
    <t>Diaser S.A.</t>
  </si>
  <si>
    <t>Calle 2 y 104 - SL</t>
  </si>
  <si>
    <t>ALE</t>
  </si>
  <si>
    <t>Rheem S.A.</t>
  </si>
  <si>
    <t>Ex Ruta 7 Km 790 - SL</t>
  </si>
  <si>
    <t>Andrea Laura Perez</t>
  </si>
  <si>
    <t>Los Zorzales 670 - JUANA KOSLAY</t>
  </si>
  <si>
    <t>ZQL</t>
  </si>
  <si>
    <t>Polimetal S.A.</t>
  </si>
  <si>
    <t>Calle 106 entre 2 y 4 - SL</t>
  </si>
  <si>
    <t>Gustavo Escudero (NCR SRL)</t>
  </si>
  <si>
    <t>Mitre 638 - SL</t>
  </si>
  <si>
    <t>H525644280</t>
  </si>
  <si>
    <t>H472469410</t>
  </si>
  <si>
    <t>PAS</t>
  </si>
  <si>
    <t>Giuliano Meineri</t>
  </si>
  <si>
    <t>Balbina Maria Paz Pernas - COUNTER SL</t>
  </si>
  <si>
    <t>Alida Susana Sosa</t>
  </si>
  <si>
    <t>Miguel Angel Diaz Gutierrez - COUNTER SL</t>
  </si>
  <si>
    <t>Pablo Galera (NCR SRL)</t>
  </si>
  <si>
    <t>Juan Galera (NCR SRL)</t>
  </si>
  <si>
    <t>Marcela Matas</t>
  </si>
  <si>
    <t>1135096</t>
  </si>
  <si>
    <t>H483295842</t>
  </si>
  <si>
    <t>H483295853</t>
  </si>
  <si>
    <t>George Luis Sheppard</t>
  </si>
  <si>
    <t>AR</t>
  </si>
  <si>
    <t>Avanz Truck SRL</t>
  </si>
  <si>
    <t>Juan José Pellegrino</t>
  </si>
  <si>
    <t>BHM</t>
  </si>
  <si>
    <t>US</t>
  </si>
  <si>
    <t>Salud Renal San Luis</t>
  </si>
  <si>
    <t>WMX</t>
  </si>
  <si>
    <t>SER</t>
  </si>
  <si>
    <t>2 Medical Express</t>
  </si>
  <si>
    <t>Bolsin P&amp;P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</si>
</sst>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dd\-mm\-yy;@"/>
    <numFmt numFmtId="166" formatCode="0.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sz val="7.5"/>
      <color theme="1"/>
      <name val="Verdana"/>
      <family val="2"/>
    </font>
    <font>
      <sz val="36"/>
      <color theme="1"/>
      <name val="Times New Roman"/>
      <family val="1"/>
    </font>
    <font>
      <sz val="12"/>
      <color theme="1"/>
      <name val="Verdana"/>
      <family val="2"/>
    </font>
    <font>
      <b/>
      <sz val="7.5"/>
      <color theme="1"/>
      <name val="Verdana"/>
      <family val="2"/>
    </font>
    <font>
      <sz val="11"/>
      <color theme="1"/>
      <name val="Times New Roman"/>
      <family val="1"/>
    </font>
    <font>
      <sz val="10"/>
      <color theme="1"/>
      <name val="Courier"/>
      <family val="3"/>
    </font>
    <font>
      <sz val="10"/>
      <name val="Arial"/>
      <family val="2"/>
    </font>
    <font>
      <sz val="18"/>
      <name val="Tahoma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i/>
      <sz val="1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72">
    <xf numFmtId="0" fontId="0" fillId="0" borderId="0" xfId="0"/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1" fillId="0" borderId="6" xfId="1" applyFont="1" applyBorder="1"/>
    <xf numFmtId="0" fontId="11" fillId="0" borderId="6" xfId="1" applyFont="1" applyBorder="1" applyAlignment="1">
      <alignment wrapText="1"/>
    </xf>
    <xf numFmtId="14" fontId="11" fillId="0" borderId="6" xfId="1" applyNumberFormat="1" applyFont="1" applyBorder="1"/>
    <xf numFmtId="0" fontId="10" fillId="0" borderId="0" xfId="1"/>
    <xf numFmtId="16" fontId="11" fillId="0" borderId="6" xfId="1" applyNumberFormat="1" applyFont="1" applyBorder="1"/>
    <xf numFmtId="0" fontId="12" fillId="0" borderId="0" xfId="1" applyFont="1"/>
    <xf numFmtId="0" fontId="11" fillId="0" borderId="7" xfId="1" applyFont="1" applyBorder="1"/>
    <xf numFmtId="0" fontId="13" fillId="0" borderId="0" xfId="1" applyFont="1" applyAlignment="1">
      <alignment horizontal="center"/>
    </xf>
    <xf numFmtId="2" fontId="7" fillId="0" borderId="0" xfId="0" applyNumberFormat="1" applyFont="1" applyAlignment="1">
      <alignment horizontal="center" vertical="center" wrapText="1"/>
    </xf>
    <xf numFmtId="0" fontId="11" fillId="0" borderId="6" xfId="1" applyFont="1" applyBorder="1" applyAlignment="1">
      <alignment horizontal="right" wrapText="1"/>
    </xf>
    <xf numFmtId="0" fontId="11" fillId="0" borderId="6" xfId="1" applyFont="1" applyBorder="1" applyAlignment="1">
      <alignment horizontal="left"/>
    </xf>
    <xf numFmtId="164" fontId="11" fillId="0" borderId="6" xfId="1" applyNumberFormat="1" applyFont="1" applyBorder="1"/>
    <xf numFmtId="165" fontId="11" fillId="0" borderId="6" xfId="1" applyNumberFormat="1" applyFont="1" applyBorder="1"/>
    <xf numFmtId="0" fontId="14" fillId="0" borderId="0" xfId="0" applyFont="1" applyAlignment="1">
      <alignment vertical="center" wrapText="1"/>
    </xf>
    <xf numFmtId="14" fontId="15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20" fontId="15" fillId="0" borderId="0" xfId="0" applyNumberFormat="1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8" xfId="1" applyFill="1" applyBorder="1"/>
    <xf numFmtId="0" fontId="10" fillId="3" borderId="9" xfId="1" applyFill="1" applyBorder="1"/>
    <xf numFmtId="0" fontId="10" fillId="3" borderId="0" xfId="1" applyFill="1"/>
    <xf numFmtId="0" fontId="10" fillId="3" borderId="10" xfId="1" applyFill="1" applyBorder="1"/>
    <xf numFmtId="0" fontId="10" fillId="3" borderId="1" xfId="1" applyFill="1" applyBorder="1"/>
    <xf numFmtId="0" fontId="10" fillId="3" borderId="2" xfId="1" applyFill="1" applyBorder="1"/>
    <xf numFmtId="0" fontId="18" fillId="3" borderId="0" xfId="1" applyFont="1" applyFill="1" applyAlignment="1">
      <alignment horizontal="center"/>
    </xf>
    <xf numFmtId="0" fontId="19" fillId="3" borderId="0" xfId="1" applyFont="1" applyFill="1"/>
    <xf numFmtId="0" fontId="22" fillId="3" borderId="0" xfId="1" applyFont="1" applyFill="1" applyAlignment="1">
      <alignment horizontal="center"/>
    </xf>
    <xf numFmtId="16" fontId="22" fillId="3" borderId="0" xfId="1" applyNumberFormat="1" applyFont="1" applyFill="1" applyAlignment="1">
      <alignment horizontal="center"/>
    </xf>
    <xf numFmtId="0" fontId="23" fillId="3" borderId="1" xfId="1" applyFont="1" applyFill="1" applyBorder="1" applyAlignment="1">
      <alignment horizontal="center" vertical="distributed" shrinkToFit="1"/>
    </xf>
    <xf numFmtId="0" fontId="22" fillId="3" borderId="0" xfId="1" applyFont="1" applyFill="1" applyAlignment="1">
      <alignment horizontal="center" vertical="distributed" shrinkToFit="1"/>
    </xf>
    <xf numFmtId="0" fontId="19" fillId="3" borderId="0" xfId="1" applyFont="1" applyFill="1" applyAlignment="1">
      <alignment vertical="distributed"/>
    </xf>
    <xf numFmtId="0" fontId="23" fillId="3" borderId="2" xfId="1" applyFont="1" applyFill="1" applyBorder="1" applyAlignment="1">
      <alignment horizontal="center" vertical="distributed" shrinkToFit="1"/>
    </xf>
    <xf numFmtId="0" fontId="23" fillId="3" borderId="0" xfId="1" applyFont="1" applyFill="1" applyAlignment="1">
      <alignment horizontal="center" vertical="distributed" shrinkToFit="1"/>
    </xf>
    <xf numFmtId="0" fontId="23" fillId="3" borderId="1" xfId="1" applyFont="1" applyFill="1" applyBorder="1"/>
    <xf numFmtId="0" fontId="22" fillId="3" borderId="0" xfId="1" applyFont="1" applyFill="1"/>
    <xf numFmtId="0" fontId="23" fillId="3" borderId="2" xfId="1" applyFont="1" applyFill="1" applyBorder="1"/>
    <xf numFmtId="0" fontId="23" fillId="3" borderId="0" xfId="1" applyFont="1" applyFill="1"/>
    <xf numFmtId="0" fontId="23" fillId="3" borderId="1" xfId="1" applyFont="1" applyFill="1" applyBorder="1" applyAlignment="1">
      <alignment horizontal="center" vertical="center" shrinkToFit="1"/>
    </xf>
    <xf numFmtId="16" fontId="22" fillId="3" borderId="0" xfId="1" applyNumberFormat="1" applyFont="1" applyFill="1" applyAlignment="1">
      <alignment horizontal="center" vertical="center" shrinkToFit="1"/>
    </xf>
    <xf numFmtId="0" fontId="22" fillId="3" borderId="0" xfId="1" applyFont="1" applyFill="1" applyAlignment="1">
      <alignment horizontal="center" vertical="center" shrinkToFit="1"/>
    </xf>
    <xf numFmtId="0" fontId="23" fillId="3" borderId="2" xfId="1" applyFont="1" applyFill="1" applyBorder="1" applyAlignment="1">
      <alignment horizontal="center" vertical="center" shrinkToFit="1"/>
    </xf>
    <xf numFmtId="0" fontId="23" fillId="3" borderId="0" xfId="1" applyFont="1" applyFill="1" applyAlignment="1">
      <alignment horizontal="center" vertical="center" shrinkToFit="1"/>
    </xf>
    <xf numFmtId="16" fontId="22" fillId="3" borderId="0" xfId="1" applyNumberFormat="1" applyFont="1" applyFill="1"/>
    <xf numFmtId="0" fontId="19" fillId="3" borderId="14" xfId="1" applyFont="1" applyFill="1" applyBorder="1" applyAlignment="1">
      <alignment horizontal="center"/>
    </xf>
    <xf numFmtId="0" fontId="24" fillId="3" borderId="0" xfId="1" applyFont="1" applyFill="1"/>
    <xf numFmtId="0" fontId="10" fillId="3" borderId="11" xfId="1" applyFill="1" applyBorder="1"/>
    <xf numFmtId="0" fontId="20" fillId="3" borderId="22" xfId="1" applyFont="1" applyFill="1" applyBorder="1" applyAlignment="1">
      <alignment horizontal="center"/>
    </xf>
    <xf numFmtId="0" fontId="20" fillId="3" borderId="23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left" vertical="distributed"/>
    </xf>
    <xf numFmtId="0" fontId="21" fillId="3" borderId="22" xfId="1" applyFont="1" applyFill="1" applyBorder="1" applyAlignment="1" applyProtection="1">
      <alignment horizontal="center" vertical="distributed"/>
      <protection locked="0"/>
    </xf>
    <xf numFmtId="0" fontId="21" fillId="3" borderId="23" xfId="1" applyFont="1" applyFill="1" applyBorder="1" applyAlignment="1" applyProtection="1">
      <alignment horizontal="center" vertical="distributed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16" fontId="10" fillId="3" borderId="0" xfId="1" applyNumberFormat="1" applyFill="1"/>
    <xf numFmtId="0" fontId="20" fillId="3" borderId="0" xfId="1" applyFont="1" applyFill="1"/>
    <xf numFmtId="0" fontId="26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 shrinkToFit="1"/>
      <protection locked="0"/>
    </xf>
    <xf numFmtId="0" fontId="27" fillId="3" borderId="6" xfId="1" applyFont="1" applyFill="1" applyBorder="1"/>
    <xf numFmtId="0" fontId="27" fillId="3" borderId="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left"/>
    </xf>
    <xf numFmtId="0" fontId="27" fillId="0" borderId="6" xfId="1" applyFont="1" applyBorder="1"/>
    <xf numFmtId="0" fontId="27" fillId="3" borderId="6" xfId="1" applyFont="1" applyFill="1" applyBorder="1" applyAlignment="1" applyProtection="1">
      <alignment horizontal="center" shrinkToFit="1"/>
      <protection locked="0"/>
    </xf>
    <xf numFmtId="166" fontId="27" fillId="3" borderId="6" xfId="1" applyNumberFormat="1" applyFont="1" applyFill="1" applyBorder="1" applyAlignment="1">
      <alignment horizontal="center"/>
    </xf>
    <xf numFmtId="1" fontId="27" fillId="3" borderId="6" xfId="1" applyNumberFormat="1" applyFont="1" applyFill="1" applyBorder="1" applyAlignment="1">
      <alignment horizontal="center"/>
    </xf>
    <xf numFmtId="0" fontId="10" fillId="3" borderId="3" xfId="1" applyFill="1" applyBorder="1"/>
    <xf numFmtId="0" fontId="10" fillId="3" borderId="5" xfId="1" applyFill="1" applyBorder="1"/>
    <xf numFmtId="0" fontId="11" fillId="0" borderId="6" xfId="1" applyFont="1" applyBorder="1" applyAlignment="1">
      <alignment horizontal="right"/>
    </xf>
    <xf numFmtId="0" fontId="27" fillId="3" borderId="6" xfId="1" applyFont="1" applyFill="1" applyBorder="1" applyAlignment="1">
      <alignment horizontal="left"/>
    </xf>
    <xf numFmtId="0" fontId="27" fillId="3" borderId="6" xfId="1" applyFont="1" applyFill="1" applyBorder="1" applyAlignment="1">
      <alignment horizontal="right"/>
    </xf>
    <xf numFmtId="0" fontId="27" fillId="3" borderId="4" xfId="1" applyFont="1" applyFill="1" applyBorder="1"/>
    <xf numFmtId="0" fontId="27" fillId="3" borderId="4" xfId="1" applyFont="1" applyFill="1" applyBorder="1" applyAlignment="1">
      <alignment horizontal="right"/>
    </xf>
    <xf numFmtId="0" fontId="20" fillId="3" borderId="6" xfId="1" applyFont="1" applyFill="1" applyBorder="1" applyAlignment="1">
      <alignment horizontal="right"/>
    </xf>
    <xf numFmtId="20" fontId="11" fillId="0" borderId="6" xfId="1" applyNumberFormat="1" applyFont="1" applyBorder="1"/>
    <xf numFmtId="0" fontId="27" fillId="3" borderId="6" xfId="1" applyFont="1" applyFill="1" applyBorder="1" applyAlignment="1">
      <alignment horizontal="center"/>
    </xf>
    <xf numFmtId="0" fontId="20" fillId="3" borderId="2" xfId="1" applyFont="1" applyFill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28" xfId="1" applyFont="1" applyFill="1" applyBorder="1" applyAlignment="1">
      <alignment horizontal="left"/>
    </xf>
    <xf numFmtId="0" fontId="23" fillId="3" borderId="13" xfId="1" applyFont="1" applyFill="1" applyBorder="1" applyAlignment="1">
      <alignment horizontal="center"/>
    </xf>
    <xf numFmtId="0" fontId="26" fillId="3" borderId="6" xfId="1" applyFont="1" applyFill="1" applyBorder="1" applyAlignment="1">
      <alignment horizontal="left"/>
    </xf>
    <xf numFmtId="0" fontId="23" fillId="4" borderId="18" xfId="1" applyFont="1" applyFill="1" applyBorder="1" applyAlignment="1" applyProtection="1">
      <alignment horizontal="center" vertical="distributed" shrinkToFit="1"/>
      <protection locked="0"/>
    </xf>
    <xf numFmtId="0" fontId="20" fillId="4" borderId="13" xfId="1" applyFont="1" applyFill="1" applyBorder="1" applyAlignment="1">
      <alignment horizontal="center" vertical="center" shrinkToFit="1"/>
    </xf>
    <xf numFmtId="0" fontId="28" fillId="3" borderId="13" xfId="1" applyFont="1" applyFill="1" applyBorder="1" applyAlignment="1">
      <alignment horizontal="center"/>
    </xf>
    <xf numFmtId="49" fontId="26" fillId="4" borderId="13" xfId="1" applyNumberFormat="1" applyFont="1" applyFill="1" applyBorder="1" applyAlignment="1" applyProtection="1">
      <alignment horizontal="center" vertical="distributed" shrinkToFit="1"/>
      <protection locked="0"/>
    </xf>
    <xf numFmtId="0" fontId="13" fillId="3" borderId="0" xfId="1" applyFont="1" applyFill="1"/>
    <xf numFmtId="165" fontId="29" fillId="3" borderId="12" xfId="1" applyNumberFormat="1" applyFont="1" applyFill="1" applyBorder="1" applyAlignment="1">
      <alignment horizontal="center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6" fillId="0" borderId="4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20" fillId="3" borderId="25" xfId="1" applyFont="1" applyFill="1" applyBorder="1" applyAlignment="1" applyProtection="1">
      <alignment horizontal="center"/>
      <protection locked="0"/>
    </xf>
    <xf numFmtId="0" fontId="20" fillId="3" borderId="26" xfId="1" applyFont="1" applyFill="1" applyBorder="1" applyAlignment="1" applyProtection="1">
      <alignment horizontal="center"/>
      <protection locked="0"/>
    </xf>
    <xf numFmtId="0" fontId="25" fillId="3" borderId="25" xfId="1" applyFont="1" applyFill="1" applyBorder="1" applyAlignment="1" applyProtection="1">
      <alignment horizontal="center"/>
      <protection locked="0"/>
    </xf>
    <xf numFmtId="0" fontId="25" fillId="3" borderId="26" xfId="1" applyFont="1" applyFill="1" applyBorder="1" applyAlignment="1" applyProtection="1">
      <alignment horizontal="center"/>
      <protection locked="0"/>
    </xf>
    <xf numFmtId="0" fontId="27" fillId="3" borderId="6" xfId="1" applyFont="1" applyFill="1" applyBorder="1" applyAlignment="1">
      <alignment horizontal="center"/>
    </xf>
    <xf numFmtId="0" fontId="20" fillId="3" borderId="6" xfId="1" applyFont="1" applyFill="1" applyBorder="1" applyAlignment="1">
      <alignment horizontal="center"/>
    </xf>
    <xf numFmtId="0" fontId="27" fillId="3" borderId="25" xfId="1" applyFont="1" applyFill="1" applyBorder="1"/>
    <xf numFmtId="0" fontId="27" fillId="0" borderId="27" xfId="1" applyFont="1" applyBorder="1"/>
    <xf numFmtId="0" fontId="27" fillId="0" borderId="26" xfId="1" applyFont="1" applyBorder="1"/>
    <xf numFmtId="0" fontId="27" fillId="3" borderId="25" xfId="1" applyFont="1" applyFill="1" applyBorder="1" applyAlignment="1" applyProtection="1">
      <alignment horizontal="center"/>
      <protection locked="0"/>
    </xf>
    <xf numFmtId="0" fontId="27" fillId="3" borderId="26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 shrinkToFit="1"/>
      <protection locked="0"/>
    </xf>
    <xf numFmtId="0" fontId="21" fillId="3" borderId="12" xfId="1" applyFont="1" applyFill="1" applyBorder="1" applyAlignment="1" applyProtection="1">
      <alignment horizontal="center" shrinkToFit="1"/>
      <protection locked="0"/>
    </xf>
    <xf numFmtId="0" fontId="21" fillId="3" borderId="24" xfId="1" applyFont="1" applyFill="1" applyBorder="1" applyAlignment="1" applyProtection="1">
      <alignment horizontal="center"/>
      <protection locked="0"/>
    </xf>
    <xf numFmtId="0" fontId="10" fillId="0" borderId="21" xfId="1" applyBorder="1" applyAlignment="1">
      <alignment horizontal="center"/>
    </xf>
    <xf numFmtId="0" fontId="10" fillId="0" borderId="12" xfId="1" applyBorder="1" applyAlignment="1">
      <alignment horizontal="center"/>
    </xf>
    <xf numFmtId="0" fontId="25" fillId="3" borderId="0" xfId="1" applyFont="1" applyFill="1" applyAlignment="1" applyProtection="1">
      <alignment horizontal="center"/>
      <protection locked="0"/>
    </xf>
    <xf numFmtId="0" fontId="26" fillId="4" borderId="11" xfId="1" applyFont="1" applyFill="1" applyBorder="1" applyAlignment="1">
      <alignment horizontal="center" vertical="distributed" shrinkToFit="1"/>
    </xf>
    <xf numFmtId="0" fontId="26" fillId="4" borderId="12" xfId="1" applyFont="1" applyFill="1" applyBorder="1" applyAlignment="1">
      <alignment horizontal="center" vertical="distributed" shrinkToFit="1"/>
    </xf>
    <xf numFmtId="0" fontId="21" fillId="3" borderId="24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 shrinkToFit="1"/>
      <protection locked="0"/>
    </xf>
    <xf numFmtId="0" fontId="21" fillId="3" borderId="12" xfId="1" applyFont="1" applyFill="1" applyBorder="1" applyAlignment="1" applyProtection="1">
      <alignment horizontal="center" wrapText="1" shrinkToFit="1"/>
      <protection locked="0"/>
    </xf>
    <xf numFmtId="22" fontId="28" fillId="4" borderId="3" xfId="1" applyNumberFormat="1" applyFont="1" applyFill="1" applyBorder="1" applyAlignment="1">
      <alignment horizontal="center" vertical="distributed" shrinkToFit="1"/>
    </xf>
    <xf numFmtId="21" fontId="28" fillId="4" borderId="4" xfId="1" applyNumberFormat="1" applyFont="1" applyFill="1" applyBorder="1" applyAlignment="1">
      <alignment horizontal="center" vertical="distributed" shrinkToFit="1"/>
    </xf>
    <xf numFmtId="21" fontId="28" fillId="4" borderId="5" xfId="1" applyNumberFormat="1" applyFont="1" applyFill="1" applyBorder="1" applyAlignment="1">
      <alignment horizontal="center" vertical="distributed" shrinkToFit="1"/>
    </xf>
    <xf numFmtId="0" fontId="22" fillId="4" borderId="19" xfId="1" applyFont="1" applyFill="1" applyBorder="1" applyAlignment="1">
      <alignment horizontal="center" vertical="distributed" shrinkToFit="1"/>
    </xf>
    <xf numFmtId="0" fontId="22" fillId="4" borderId="20" xfId="1" applyFont="1" applyFill="1" applyBorder="1" applyAlignment="1">
      <alignment horizontal="center" vertical="distributed" shrinkToFit="1"/>
    </xf>
    <xf numFmtId="0" fontId="18" fillId="3" borderId="11" xfId="1" applyFont="1" applyFill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12" xfId="1" applyFont="1" applyFill="1" applyBorder="1" applyAlignment="1">
      <alignment horizontal="center" vertical="center"/>
    </xf>
    <xf numFmtId="0" fontId="20" fillId="3" borderId="21" xfId="1" applyFont="1" applyFill="1" applyBorder="1" applyAlignment="1">
      <alignment horizontal="center"/>
    </xf>
    <xf numFmtId="0" fontId="20" fillId="3" borderId="12" xfId="1" applyFont="1" applyFill="1" applyBorder="1" applyAlignment="1">
      <alignment horizontal="center"/>
    </xf>
    <xf numFmtId="0" fontId="28" fillId="3" borderId="11" xfId="1" applyFont="1" applyFill="1" applyBorder="1" applyAlignment="1">
      <alignment horizontal="center"/>
    </xf>
    <xf numFmtId="0" fontId="28" fillId="3" borderId="12" xfId="1" applyFont="1" applyFill="1" applyBorder="1" applyAlignment="1">
      <alignment horizontal="center"/>
    </xf>
    <xf numFmtId="0" fontId="26" fillId="4" borderId="11" xfId="1" applyFont="1" applyFill="1" applyBorder="1" applyAlignment="1" applyProtection="1">
      <alignment horizontal="center" vertical="distributed" shrinkToFit="1"/>
      <protection locked="0"/>
    </xf>
    <xf numFmtId="0" fontId="21" fillId="0" borderId="12" xfId="1" applyFont="1" applyBorder="1" applyAlignment="1">
      <alignment horizontal="center" vertical="distributed" shrinkToFit="1"/>
    </xf>
    <xf numFmtId="0" fontId="23" fillId="3" borderId="11" xfId="1" applyFont="1" applyFill="1" applyBorder="1" applyAlignment="1">
      <alignment horizontal="center"/>
    </xf>
    <xf numFmtId="0" fontId="23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center" shrinkToFit="1"/>
      <protection locked="0"/>
    </xf>
    <xf numFmtId="0" fontId="20" fillId="4" borderId="12" xfId="1" applyFont="1" applyFill="1" applyBorder="1" applyAlignment="1" applyProtection="1">
      <alignment horizontal="center" vertical="center" shrinkToFit="1"/>
      <protection locked="0"/>
    </xf>
    <xf numFmtId="16" fontId="19" fillId="3" borderId="15" xfId="1" applyNumberFormat="1" applyFont="1" applyFill="1" applyBorder="1" applyAlignment="1">
      <alignment horizontal="center"/>
    </xf>
    <xf numFmtId="0" fontId="19" fillId="3" borderId="16" xfId="1" applyFont="1" applyFill="1" applyBorder="1" applyAlignment="1">
      <alignment horizontal="center"/>
    </xf>
    <xf numFmtId="0" fontId="19" fillId="3" borderId="17" xfId="1" applyFont="1" applyFill="1" applyBorder="1" applyAlignment="1">
      <alignment horizontal="center"/>
    </xf>
    <xf numFmtId="0" fontId="19" fillId="3" borderId="15" xfId="1" applyFont="1" applyFill="1" applyBorder="1" applyAlignment="1">
      <alignment horizontal="center"/>
    </xf>
    <xf numFmtId="0" fontId="18" fillId="3" borderId="0" xfId="1" applyFont="1" applyFill="1" applyAlignment="1">
      <alignment horizontal="center"/>
    </xf>
    <xf numFmtId="0" fontId="20" fillId="3" borderId="11" xfId="1" applyFont="1" applyFill="1" applyBorder="1" applyAlignment="1">
      <alignment horizontal="center" vertical="distributed"/>
    </xf>
    <xf numFmtId="0" fontId="20" fillId="3" borderId="12" xfId="1" applyFont="1" applyFill="1" applyBorder="1" applyAlignment="1">
      <alignment horizontal="center" vertical="distributed"/>
    </xf>
    <xf numFmtId="16" fontId="28" fillId="3" borderId="11" xfId="1" applyNumberFormat="1" applyFont="1" applyFill="1" applyBorder="1" applyAlignment="1">
      <alignment horizontal="center"/>
    </xf>
    <xf numFmtId="0" fontId="26" fillId="4" borderId="12" xfId="1" applyFont="1" applyFill="1" applyBorder="1" applyAlignment="1" applyProtection="1">
      <alignment horizontal="center" vertical="distributed" shrinkToFit="1"/>
      <protection locked="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276225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13</xdr:row>
          <xdr:rowOff>257175</xdr:rowOff>
        </xdr:from>
        <xdr:to>
          <xdr:col>10</xdr:col>
          <xdr:colOff>9525</xdr:colOff>
          <xdr:row>15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76200</xdr:rowOff>
        </xdr:from>
        <xdr:to>
          <xdr:col>10</xdr:col>
          <xdr:colOff>200025</xdr:colOff>
          <xdr:row>32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2" name="Picture 4" descr="nojavascript&amp;W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3" name="Picture 5" descr="nojavascript&amp;W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133350</xdr:colOff>
      <xdr:row>1</xdr:row>
      <xdr:rowOff>104775</xdr:rowOff>
    </xdr:from>
    <xdr:to>
      <xdr:col>1</xdr:col>
      <xdr:colOff>1924050</xdr:colOff>
      <xdr:row>2</xdr:row>
      <xdr:rowOff>180975</xdr:rowOff>
    </xdr:to>
    <xdr:pic>
      <xdr:nvPicPr>
        <xdr:cNvPr id="4" name="Picture 6" descr="dhl_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66700"/>
          <a:ext cx="2057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growShrinkType="overwriteClear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44"/>
  <sheetViews>
    <sheetView zoomScale="70" zoomScaleNormal="70" workbookViewId="0">
      <selection activeCell="A2" sqref="A2"/>
    </sheetView>
  </sheetViews>
  <sheetFormatPr baseColWidth="10" defaultRowHeight="12.75" x14ac:dyDescent="0.2"/>
  <cols>
    <col min="1" max="1" width="11.42578125" style="16"/>
    <col min="2" max="2" width="20.7109375" style="16" customWidth="1"/>
    <col min="3" max="3" width="10.42578125" style="16" customWidth="1"/>
    <col min="4" max="4" width="11.5703125" style="16" bestFit="1" customWidth="1"/>
    <col min="5" max="5" width="12.85546875" style="16" bestFit="1" customWidth="1"/>
    <col min="6" max="6" width="59.28515625" style="16" bestFit="1" customWidth="1"/>
    <col min="7" max="7" width="82.85546875" style="16" bestFit="1" customWidth="1"/>
    <col min="8" max="8" width="11" style="16" bestFit="1" customWidth="1"/>
    <col min="9" max="9" width="9.140625" style="16" customWidth="1"/>
    <col min="10" max="257" width="11.42578125" style="16"/>
    <col min="258" max="258" width="20.7109375" style="16" customWidth="1"/>
    <col min="259" max="259" width="10.42578125" style="16" customWidth="1"/>
    <col min="260" max="260" width="11.5703125" style="16" bestFit="1" customWidth="1"/>
    <col min="261" max="261" width="12.85546875" style="16" bestFit="1" customWidth="1"/>
    <col min="262" max="262" width="59.28515625" style="16" bestFit="1" customWidth="1"/>
    <col min="263" max="263" width="82.85546875" style="16" bestFit="1" customWidth="1"/>
    <col min="264" max="264" width="11" style="16" bestFit="1" customWidth="1"/>
    <col min="265" max="265" width="9.140625" style="16" customWidth="1"/>
    <col min="266" max="513" width="11.42578125" style="16"/>
    <col min="514" max="514" width="20.7109375" style="16" customWidth="1"/>
    <col min="515" max="515" width="10.42578125" style="16" customWidth="1"/>
    <col min="516" max="516" width="11.5703125" style="16" bestFit="1" customWidth="1"/>
    <col min="517" max="517" width="12.85546875" style="16" bestFit="1" customWidth="1"/>
    <col min="518" max="518" width="59.28515625" style="16" bestFit="1" customWidth="1"/>
    <col min="519" max="519" width="82.85546875" style="16" bestFit="1" customWidth="1"/>
    <col min="520" max="520" width="11" style="16" bestFit="1" customWidth="1"/>
    <col min="521" max="521" width="9.140625" style="16" customWidth="1"/>
    <col min="522" max="769" width="11.42578125" style="16"/>
    <col min="770" max="770" width="20.7109375" style="16" customWidth="1"/>
    <col min="771" max="771" width="10.42578125" style="16" customWidth="1"/>
    <col min="772" max="772" width="11.5703125" style="16" bestFit="1" customWidth="1"/>
    <col min="773" max="773" width="12.85546875" style="16" bestFit="1" customWidth="1"/>
    <col min="774" max="774" width="59.28515625" style="16" bestFit="1" customWidth="1"/>
    <col min="775" max="775" width="82.85546875" style="16" bestFit="1" customWidth="1"/>
    <col min="776" max="776" width="11" style="16" bestFit="1" customWidth="1"/>
    <col min="777" max="777" width="9.140625" style="16" customWidth="1"/>
    <col min="778" max="1025" width="11.42578125" style="16"/>
    <col min="1026" max="1026" width="20.7109375" style="16" customWidth="1"/>
    <col min="1027" max="1027" width="10.42578125" style="16" customWidth="1"/>
    <col min="1028" max="1028" width="11.5703125" style="16" bestFit="1" customWidth="1"/>
    <col min="1029" max="1029" width="12.85546875" style="16" bestFit="1" customWidth="1"/>
    <col min="1030" max="1030" width="59.28515625" style="16" bestFit="1" customWidth="1"/>
    <col min="1031" max="1031" width="82.85546875" style="16" bestFit="1" customWidth="1"/>
    <col min="1032" max="1032" width="11" style="16" bestFit="1" customWidth="1"/>
    <col min="1033" max="1033" width="9.140625" style="16" customWidth="1"/>
    <col min="1034" max="1281" width="11.42578125" style="16"/>
    <col min="1282" max="1282" width="20.7109375" style="16" customWidth="1"/>
    <col min="1283" max="1283" width="10.42578125" style="16" customWidth="1"/>
    <col min="1284" max="1284" width="11.5703125" style="16" bestFit="1" customWidth="1"/>
    <col min="1285" max="1285" width="12.85546875" style="16" bestFit="1" customWidth="1"/>
    <col min="1286" max="1286" width="59.28515625" style="16" bestFit="1" customWidth="1"/>
    <col min="1287" max="1287" width="82.85546875" style="16" bestFit="1" customWidth="1"/>
    <col min="1288" max="1288" width="11" style="16" bestFit="1" customWidth="1"/>
    <col min="1289" max="1289" width="9.140625" style="16" customWidth="1"/>
    <col min="1290" max="1537" width="11.42578125" style="16"/>
    <col min="1538" max="1538" width="20.7109375" style="16" customWidth="1"/>
    <col min="1539" max="1539" width="10.42578125" style="16" customWidth="1"/>
    <col min="1540" max="1540" width="11.5703125" style="16" bestFit="1" customWidth="1"/>
    <col min="1541" max="1541" width="12.85546875" style="16" bestFit="1" customWidth="1"/>
    <col min="1542" max="1542" width="59.28515625" style="16" bestFit="1" customWidth="1"/>
    <col min="1543" max="1543" width="82.85546875" style="16" bestFit="1" customWidth="1"/>
    <col min="1544" max="1544" width="11" style="16" bestFit="1" customWidth="1"/>
    <col min="1545" max="1545" width="9.140625" style="16" customWidth="1"/>
    <col min="1546" max="1793" width="11.42578125" style="16"/>
    <col min="1794" max="1794" width="20.7109375" style="16" customWidth="1"/>
    <col min="1795" max="1795" width="10.42578125" style="16" customWidth="1"/>
    <col min="1796" max="1796" width="11.5703125" style="16" bestFit="1" customWidth="1"/>
    <col min="1797" max="1797" width="12.85546875" style="16" bestFit="1" customWidth="1"/>
    <col min="1798" max="1798" width="59.28515625" style="16" bestFit="1" customWidth="1"/>
    <col min="1799" max="1799" width="82.85546875" style="16" bestFit="1" customWidth="1"/>
    <col min="1800" max="1800" width="11" style="16" bestFit="1" customWidth="1"/>
    <col min="1801" max="1801" width="9.140625" style="16" customWidth="1"/>
    <col min="1802" max="2049" width="11.42578125" style="16"/>
    <col min="2050" max="2050" width="20.7109375" style="16" customWidth="1"/>
    <col min="2051" max="2051" width="10.42578125" style="16" customWidth="1"/>
    <col min="2052" max="2052" width="11.5703125" style="16" bestFit="1" customWidth="1"/>
    <col min="2053" max="2053" width="12.85546875" style="16" bestFit="1" customWidth="1"/>
    <col min="2054" max="2054" width="59.28515625" style="16" bestFit="1" customWidth="1"/>
    <col min="2055" max="2055" width="82.85546875" style="16" bestFit="1" customWidth="1"/>
    <col min="2056" max="2056" width="11" style="16" bestFit="1" customWidth="1"/>
    <col min="2057" max="2057" width="9.140625" style="16" customWidth="1"/>
    <col min="2058" max="2305" width="11.42578125" style="16"/>
    <col min="2306" max="2306" width="20.7109375" style="16" customWidth="1"/>
    <col min="2307" max="2307" width="10.42578125" style="16" customWidth="1"/>
    <col min="2308" max="2308" width="11.5703125" style="16" bestFit="1" customWidth="1"/>
    <col min="2309" max="2309" width="12.85546875" style="16" bestFit="1" customWidth="1"/>
    <col min="2310" max="2310" width="59.28515625" style="16" bestFit="1" customWidth="1"/>
    <col min="2311" max="2311" width="82.85546875" style="16" bestFit="1" customWidth="1"/>
    <col min="2312" max="2312" width="11" style="16" bestFit="1" customWidth="1"/>
    <col min="2313" max="2313" width="9.140625" style="16" customWidth="1"/>
    <col min="2314" max="2561" width="11.42578125" style="16"/>
    <col min="2562" max="2562" width="20.7109375" style="16" customWidth="1"/>
    <col min="2563" max="2563" width="10.42578125" style="16" customWidth="1"/>
    <col min="2564" max="2564" width="11.5703125" style="16" bestFit="1" customWidth="1"/>
    <col min="2565" max="2565" width="12.85546875" style="16" bestFit="1" customWidth="1"/>
    <col min="2566" max="2566" width="59.28515625" style="16" bestFit="1" customWidth="1"/>
    <col min="2567" max="2567" width="82.85546875" style="16" bestFit="1" customWidth="1"/>
    <col min="2568" max="2568" width="11" style="16" bestFit="1" customWidth="1"/>
    <col min="2569" max="2569" width="9.140625" style="16" customWidth="1"/>
    <col min="2570" max="2817" width="11.42578125" style="16"/>
    <col min="2818" max="2818" width="20.7109375" style="16" customWidth="1"/>
    <col min="2819" max="2819" width="10.42578125" style="16" customWidth="1"/>
    <col min="2820" max="2820" width="11.5703125" style="16" bestFit="1" customWidth="1"/>
    <col min="2821" max="2821" width="12.85546875" style="16" bestFit="1" customWidth="1"/>
    <col min="2822" max="2822" width="59.28515625" style="16" bestFit="1" customWidth="1"/>
    <col min="2823" max="2823" width="82.85546875" style="16" bestFit="1" customWidth="1"/>
    <col min="2824" max="2824" width="11" style="16" bestFit="1" customWidth="1"/>
    <col min="2825" max="2825" width="9.140625" style="16" customWidth="1"/>
    <col min="2826" max="3073" width="11.42578125" style="16"/>
    <col min="3074" max="3074" width="20.7109375" style="16" customWidth="1"/>
    <col min="3075" max="3075" width="10.42578125" style="16" customWidth="1"/>
    <col min="3076" max="3076" width="11.5703125" style="16" bestFit="1" customWidth="1"/>
    <col min="3077" max="3077" width="12.85546875" style="16" bestFit="1" customWidth="1"/>
    <col min="3078" max="3078" width="59.28515625" style="16" bestFit="1" customWidth="1"/>
    <col min="3079" max="3079" width="82.85546875" style="16" bestFit="1" customWidth="1"/>
    <col min="3080" max="3080" width="11" style="16" bestFit="1" customWidth="1"/>
    <col min="3081" max="3081" width="9.140625" style="16" customWidth="1"/>
    <col min="3082" max="3329" width="11.42578125" style="16"/>
    <col min="3330" max="3330" width="20.7109375" style="16" customWidth="1"/>
    <col min="3331" max="3331" width="10.42578125" style="16" customWidth="1"/>
    <col min="3332" max="3332" width="11.5703125" style="16" bestFit="1" customWidth="1"/>
    <col min="3333" max="3333" width="12.85546875" style="16" bestFit="1" customWidth="1"/>
    <col min="3334" max="3334" width="59.28515625" style="16" bestFit="1" customWidth="1"/>
    <col min="3335" max="3335" width="82.85546875" style="16" bestFit="1" customWidth="1"/>
    <col min="3336" max="3336" width="11" style="16" bestFit="1" customWidth="1"/>
    <col min="3337" max="3337" width="9.140625" style="16" customWidth="1"/>
    <col min="3338" max="3585" width="11.42578125" style="16"/>
    <col min="3586" max="3586" width="20.7109375" style="16" customWidth="1"/>
    <col min="3587" max="3587" width="10.42578125" style="16" customWidth="1"/>
    <col min="3588" max="3588" width="11.5703125" style="16" bestFit="1" customWidth="1"/>
    <col min="3589" max="3589" width="12.85546875" style="16" bestFit="1" customWidth="1"/>
    <col min="3590" max="3590" width="59.28515625" style="16" bestFit="1" customWidth="1"/>
    <col min="3591" max="3591" width="82.85546875" style="16" bestFit="1" customWidth="1"/>
    <col min="3592" max="3592" width="11" style="16" bestFit="1" customWidth="1"/>
    <col min="3593" max="3593" width="9.140625" style="16" customWidth="1"/>
    <col min="3594" max="3841" width="11.42578125" style="16"/>
    <col min="3842" max="3842" width="20.7109375" style="16" customWidth="1"/>
    <col min="3843" max="3843" width="10.42578125" style="16" customWidth="1"/>
    <col min="3844" max="3844" width="11.5703125" style="16" bestFit="1" customWidth="1"/>
    <col min="3845" max="3845" width="12.85546875" style="16" bestFit="1" customWidth="1"/>
    <col min="3846" max="3846" width="59.28515625" style="16" bestFit="1" customWidth="1"/>
    <col min="3847" max="3847" width="82.85546875" style="16" bestFit="1" customWidth="1"/>
    <col min="3848" max="3848" width="11" style="16" bestFit="1" customWidth="1"/>
    <col min="3849" max="3849" width="9.140625" style="16" customWidth="1"/>
    <col min="3850" max="4097" width="11.42578125" style="16"/>
    <col min="4098" max="4098" width="20.7109375" style="16" customWidth="1"/>
    <col min="4099" max="4099" width="10.42578125" style="16" customWidth="1"/>
    <col min="4100" max="4100" width="11.5703125" style="16" bestFit="1" customWidth="1"/>
    <col min="4101" max="4101" width="12.85546875" style="16" bestFit="1" customWidth="1"/>
    <col min="4102" max="4102" width="59.28515625" style="16" bestFit="1" customWidth="1"/>
    <col min="4103" max="4103" width="82.85546875" style="16" bestFit="1" customWidth="1"/>
    <col min="4104" max="4104" width="11" style="16" bestFit="1" customWidth="1"/>
    <col min="4105" max="4105" width="9.140625" style="16" customWidth="1"/>
    <col min="4106" max="4353" width="11.42578125" style="16"/>
    <col min="4354" max="4354" width="20.7109375" style="16" customWidth="1"/>
    <col min="4355" max="4355" width="10.42578125" style="16" customWidth="1"/>
    <col min="4356" max="4356" width="11.5703125" style="16" bestFit="1" customWidth="1"/>
    <col min="4357" max="4357" width="12.85546875" style="16" bestFit="1" customWidth="1"/>
    <col min="4358" max="4358" width="59.28515625" style="16" bestFit="1" customWidth="1"/>
    <col min="4359" max="4359" width="82.85546875" style="16" bestFit="1" customWidth="1"/>
    <col min="4360" max="4360" width="11" style="16" bestFit="1" customWidth="1"/>
    <col min="4361" max="4361" width="9.140625" style="16" customWidth="1"/>
    <col min="4362" max="4609" width="11.42578125" style="16"/>
    <col min="4610" max="4610" width="20.7109375" style="16" customWidth="1"/>
    <col min="4611" max="4611" width="10.42578125" style="16" customWidth="1"/>
    <col min="4612" max="4612" width="11.5703125" style="16" bestFit="1" customWidth="1"/>
    <col min="4613" max="4613" width="12.85546875" style="16" bestFit="1" customWidth="1"/>
    <col min="4614" max="4614" width="59.28515625" style="16" bestFit="1" customWidth="1"/>
    <col min="4615" max="4615" width="82.85546875" style="16" bestFit="1" customWidth="1"/>
    <col min="4616" max="4616" width="11" style="16" bestFit="1" customWidth="1"/>
    <col min="4617" max="4617" width="9.140625" style="16" customWidth="1"/>
    <col min="4618" max="4865" width="11.42578125" style="16"/>
    <col min="4866" max="4866" width="20.7109375" style="16" customWidth="1"/>
    <col min="4867" max="4867" width="10.42578125" style="16" customWidth="1"/>
    <col min="4868" max="4868" width="11.5703125" style="16" bestFit="1" customWidth="1"/>
    <col min="4869" max="4869" width="12.85546875" style="16" bestFit="1" customWidth="1"/>
    <col min="4870" max="4870" width="59.28515625" style="16" bestFit="1" customWidth="1"/>
    <col min="4871" max="4871" width="82.85546875" style="16" bestFit="1" customWidth="1"/>
    <col min="4872" max="4872" width="11" style="16" bestFit="1" customWidth="1"/>
    <col min="4873" max="4873" width="9.140625" style="16" customWidth="1"/>
    <col min="4874" max="5121" width="11.42578125" style="16"/>
    <col min="5122" max="5122" width="20.7109375" style="16" customWidth="1"/>
    <col min="5123" max="5123" width="10.42578125" style="16" customWidth="1"/>
    <col min="5124" max="5124" width="11.5703125" style="16" bestFit="1" customWidth="1"/>
    <col min="5125" max="5125" width="12.85546875" style="16" bestFit="1" customWidth="1"/>
    <col min="5126" max="5126" width="59.28515625" style="16" bestFit="1" customWidth="1"/>
    <col min="5127" max="5127" width="82.85546875" style="16" bestFit="1" customWidth="1"/>
    <col min="5128" max="5128" width="11" style="16" bestFit="1" customWidth="1"/>
    <col min="5129" max="5129" width="9.140625" style="16" customWidth="1"/>
    <col min="5130" max="5377" width="11.42578125" style="16"/>
    <col min="5378" max="5378" width="20.7109375" style="16" customWidth="1"/>
    <col min="5379" max="5379" width="10.42578125" style="16" customWidth="1"/>
    <col min="5380" max="5380" width="11.5703125" style="16" bestFit="1" customWidth="1"/>
    <col min="5381" max="5381" width="12.85546875" style="16" bestFit="1" customWidth="1"/>
    <col min="5382" max="5382" width="59.28515625" style="16" bestFit="1" customWidth="1"/>
    <col min="5383" max="5383" width="82.85546875" style="16" bestFit="1" customWidth="1"/>
    <col min="5384" max="5384" width="11" style="16" bestFit="1" customWidth="1"/>
    <col min="5385" max="5385" width="9.140625" style="16" customWidth="1"/>
    <col min="5386" max="5633" width="11.42578125" style="16"/>
    <col min="5634" max="5634" width="20.7109375" style="16" customWidth="1"/>
    <col min="5635" max="5635" width="10.42578125" style="16" customWidth="1"/>
    <col min="5636" max="5636" width="11.5703125" style="16" bestFit="1" customWidth="1"/>
    <col min="5637" max="5637" width="12.85546875" style="16" bestFit="1" customWidth="1"/>
    <col min="5638" max="5638" width="59.28515625" style="16" bestFit="1" customWidth="1"/>
    <col min="5639" max="5639" width="82.85546875" style="16" bestFit="1" customWidth="1"/>
    <col min="5640" max="5640" width="11" style="16" bestFit="1" customWidth="1"/>
    <col min="5641" max="5641" width="9.140625" style="16" customWidth="1"/>
    <col min="5642" max="5889" width="11.42578125" style="16"/>
    <col min="5890" max="5890" width="20.7109375" style="16" customWidth="1"/>
    <col min="5891" max="5891" width="10.42578125" style="16" customWidth="1"/>
    <col min="5892" max="5892" width="11.5703125" style="16" bestFit="1" customWidth="1"/>
    <col min="5893" max="5893" width="12.85546875" style="16" bestFit="1" customWidth="1"/>
    <col min="5894" max="5894" width="59.28515625" style="16" bestFit="1" customWidth="1"/>
    <col min="5895" max="5895" width="82.85546875" style="16" bestFit="1" customWidth="1"/>
    <col min="5896" max="5896" width="11" style="16" bestFit="1" customWidth="1"/>
    <col min="5897" max="5897" width="9.140625" style="16" customWidth="1"/>
    <col min="5898" max="6145" width="11.42578125" style="16"/>
    <col min="6146" max="6146" width="20.7109375" style="16" customWidth="1"/>
    <col min="6147" max="6147" width="10.42578125" style="16" customWidth="1"/>
    <col min="6148" max="6148" width="11.5703125" style="16" bestFit="1" customWidth="1"/>
    <col min="6149" max="6149" width="12.85546875" style="16" bestFit="1" customWidth="1"/>
    <col min="6150" max="6150" width="59.28515625" style="16" bestFit="1" customWidth="1"/>
    <col min="6151" max="6151" width="82.85546875" style="16" bestFit="1" customWidth="1"/>
    <col min="6152" max="6152" width="11" style="16" bestFit="1" customWidth="1"/>
    <col min="6153" max="6153" width="9.140625" style="16" customWidth="1"/>
    <col min="6154" max="6401" width="11.42578125" style="16"/>
    <col min="6402" max="6402" width="20.7109375" style="16" customWidth="1"/>
    <col min="6403" max="6403" width="10.42578125" style="16" customWidth="1"/>
    <col min="6404" max="6404" width="11.5703125" style="16" bestFit="1" customWidth="1"/>
    <col min="6405" max="6405" width="12.85546875" style="16" bestFit="1" customWidth="1"/>
    <col min="6406" max="6406" width="59.28515625" style="16" bestFit="1" customWidth="1"/>
    <col min="6407" max="6407" width="82.85546875" style="16" bestFit="1" customWidth="1"/>
    <col min="6408" max="6408" width="11" style="16" bestFit="1" customWidth="1"/>
    <col min="6409" max="6409" width="9.140625" style="16" customWidth="1"/>
    <col min="6410" max="6657" width="11.42578125" style="16"/>
    <col min="6658" max="6658" width="20.7109375" style="16" customWidth="1"/>
    <col min="6659" max="6659" width="10.42578125" style="16" customWidth="1"/>
    <col min="6660" max="6660" width="11.5703125" style="16" bestFit="1" customWidth="1"/>
    <col min="6661" max="6661" width="12.85546875" style="16" bestFit="1" customWidth="1"/>
    <col min="6662" max="6662" width="59.28515625" style="16" bestFit="1" customWidth="1"/>
    <col min="6663" max="6663" width="82.85546875" style="16" bestFit="1" customWidth="1"/>
    <col min="6664" max="6664" width="11" style="16" bestFit="1" customWidth="1"/>
    <col min="6665" max="6665" width="9.140625" style="16" customWidth="1"/>
    <col min="6666" max="6913" width="11.42578125" style="16"/>
    <col min="6914" max="6914" width="20.7109375" style="16" customWidth="1"/>
    <col min="6915" max="6915" width="10.42578125" style="16" customWidth="1"/>
    <col min="6916" max="6916" width="11.5703125" style="16" bestFit="1" customWidth="1"/>
    <col min="6917" max="6917" width="12.85546875" style="16" bestFit="1" customWidth="1"/>
    <col min="6918" max="6918" width="59.28515625" style="16" bestFit="1" customWidth="1"/>
    <col min="6919" max="6919" width="82.85546875" style="16" bestFit="1" customWidth="1"/>
    <col min="6920" max="6920" width="11" style="16" bestFit="1" customWidth="1"/>
    <col min="6921" max="6921" width="9.140625" style="16" customWidth="1"/>
    <col min="6922" max="7169" width="11.42578125" style="16"/>
    <col min="7170" max="7170" width="20.7109375" style="16" customWidth="1"/>
    <col min="7171" max="7171" width="10.42578125" style="16" customWidth="1"/>
    <col min="7172" max="7172" width="11.5703125" style="16" bestFit="1" customWidth="1"/>
    <col min="7173" max="7173" width="12.85546875" style="16" bestFit="1" customWidth="1"/>
    <col min="7174" max="7174" width="59.28515625" style="16" bestFit="1" customWidth="1"/>
    <col min="7175" max="7175" width="82.85546875" style="16" bestFit="1" customWidth="1"/>
    <col min="7176" max="7176" width="11" style="16" bestFit="1" customWidth="1"/>
    <col min="7177" max="7177" width="9.140625" style="16" customWidth="1"/>
    <col min="7178" max="7425" width="11.42578125" style="16"/>
    <col min="7426" max="7426" width="20.7109375" style="16" customWidth="1"/>
    <col min="7427" max="7427" width="10.42578125" style="16" customWidth="1"/>
    <col min="7428" max="7428" width="11.5703125" style="16" bestFit="1" customWidth="1"/>
    <col min="7429" max="7429" width="12.85546875" style="16" bestFit="1" customWidth="1"/>
    <col min="7430" max="7430" width="59.28515625" style="16" bestFit="1" customWidth="1"/>
    <col min="7431" max="7431" width="82.85546875" style="16" bestFit="1" customWidth="1"/>
    <col min="7432" max="7432" width="11" style="16" bestFit="1" customWidth="1"/>
    <col min="7433" max="7433" width="9.140625" style="16" customWidth="1"/>
    <col min="7434" max="7681" width="11.42578125" style="16"/>
    <col min="7682" max="7682" width="20.7109375" style="16" customWidth="1"/>
    <col min="7683" max="7683" width="10.42578125" style="16" customWidth="1"/>
    <col min="7684" max="7684" width="11.5703125" style="16" bestFit="1" customWidth="1"/>
    <col min="7685" max="7685" width="12.85546875" style="16" bestFit="1" customWidth="1"/>
    <col min="7686" max="7686" width="59.28515625" style="16" bestFit="1" customWidth="1"/>
    <col min="7687" max="7687" width="82.85546875" style="16" bestFit="1" customWidth="1"/>
    <col min="7688" max="7688" width="11" style="16" bestFit="1" customWidth="1"/>
    <col min="7689" max="7689" width="9.140625" style="16" customWidth="1"/>
    <col min="7690" max="7937" width="11.42578125" style="16"/>
    <col min="7938" max="7938" width="20.7109375" style="16" customWidth="1"/>
    <col min="7939" max="7939" width="10.42578125" style="16" customWidth="1"/>
    <col min="7940" max="7940" width="11.5703125" style="16" bestFit="1" customWidth="1"/>
    <col min="7941" max="7941" width="12.85546875" style="16" bestFit="1" customWidth="1"/>
    <col min="7942" max="7942" width="59.28515625" style="16" bestFit="1" customWidth="1"/>
    <col min="7943" max="7943" width="82.85546875" style="16" bestFit="1" customWidth="1"/>
    <col min="7944" max="7944" width="11" style="16" bestFit="1" customWidth="1"/>
    <col min="7945" max="7945" width="9.140625" style="16" customWidth="1"/>
    <col min="7946" max="8193" width="11.42578125" style="16"/>
    <col min="8194" max="8194" width="20.7109375" style="16" customWidth="1"/>
    <col min="8195" max="8195" width="10.42578125" style="16" customWidth="1"/>
    <col min="8196" max="8196" width="11.5703125" style="16" bestFit="1" customWidth="1"/>
    <col min="8197" max="8197" width="12.85546875" style="16" bestFit="1" customWidth="1"/>
    <col min="8198" max="8198" width="59.28515625" style="16" bestFit="1" customWidth="1"/>
    <col min="8199" max="8199" width="82.85546875" style="16" bestFit="1" customWidth="1"/>
    <col min="8200" max="8200" width="11" style="16" bestFit="1" customWidth="1"/>
    <col min="8201" max="8201" width="9.140625" style="16" customWidth="1"/>
    <col min="8202" max="8449" width="11.42578125" style="16"/>
    <col min="8450" max="8450" width="20.7109375" style="16" customWidth="1"/>
    <col min="8451" max="8451" width="10.42578125" style="16" customWidth="1"/>
    <col min="8452" max="8452" width="11.5703125" style="16" bestFit="1" customWidth="1"/>
    <col min="8453" max="8453" width="12.85546875" style="16" bestFit="1" customWidth="1"/>
    <col min="8454" max="8454" width="59.28515625" style="16" bestFit="1" customWidth="1"/>
    <col min="8455" max="8455" width="82.85546875" style="16" bestFit="1" customWidth="1"/>
    <col min="8456" max="8456" width="11" style="16" bestFit="1" customWidth="1"/>
    <col min="8457" max="8457" width="9.140625" style="16" customWidth="1"/>
    <col min="8458" max="8705" width="11.42578125" style="16"/>
    <col min="8706" max="8706" width="20.7109375" style="16" customWidth="1"/>
    <col min="8707" max="8707" width="10.42578125" style="16" customWidth="1"/>
    <col min="8708" max="8708" width="11.5703125" style="16" bestFit="1" customWidth="1"/>
    <col min="8709" max="8709" width="12.85546875" style="16" bestFit="1" customWidth="1"/>
    <col min="8710" max="8710" width="59.28515625" style="16" bestFit="1" customWidth="1"/>
    <col min="8711" max="8711" width="82.85546875" style="16" bestFit="1" customWidth="1"/>
    <col min="8712" max="8712" width="11" style="16" bestFit="1" customWidth="1"/>
    <col min="8713" max="8713" width="9.140625" style="16" customWidth="1"/>
    <col min="8714" max="8961" width="11.42578125" style="16"/>
    <col min="8962" max="8962" width="20.7109375" style="16" customWidth="1"/>
    <col min="8963" max="8963" width="10.42578125" style="16" customWidth="1"/>
    <col min="8964" max="8964" width="11.5703125" style="16" bestFit="1" customWidth="1"/>
    <col min="8965" max="8965" width="12.85546875" style="16" bestFit="1" customWidth="1"/>
    <col min="8966" max="8966" width="59.28515625" style="16" bestFit="1" customWidth="1"/>
    <col min="8967" max="8967" width="82.85546875" style="16" bestFit="1" customWidth="1"/>
    <col min="8968" max="8968" width="11" style="16" bestFit="1" customWidth="1"/>
    <col min="8969" max="8969" width="9.140625" style="16" customWidth="1"/>
    <col min="8970" max="9217" width="11.42578125" style="16"/>
    <col min="9218" max="9218" width="20.7109375" style="16" customWidth="1"/>
    <col min="9219" max="9219" width="10.42578125" style="16" customWidth="1"/>
    <col min="9220" max="9220" width="11.5703125" style="16" bestFit="1" customWidth="1"/>
    <col min="9221" max="9221" width="12.85546875" style="16" bestFit="1" customWidth="1"/>
    <col min="9222" max="9222" width="59.28515625" style="16" bestFit="1" customWidth="1"/>
    <col min="9223" max="9223" width="82.85546875" style="16" bestFit="1" customWidth="1"/>
    <col min="9224" max="9224" width="11" style="16" bestFit="1" customWidth="1"/>
    <col min="9225" max="9225" width="9.140625" style="16" customWidth="1"/>
    <col min="9226" max="9473" width="11.42578125" style="16"/>
    <col min="9474" max="9474" width="20.7109375" style="16" customWidth="1"/>
    <col min="9475" max="9475" width="10.42578125" style="16" customWidth="1"/>
    <col min="9476" max="9476" width="11.5703125" style="16" bestFit="1" customWidth="1"/>
    <col min="9477" max="9477" width="12.85546875" style="16" bestFit="1" customWidth="1"/>
    <col min="9478" max="9478" width="59.28515625" style="16" bestFit="1" customWidth="1"/>
    <col min="9479" max="9479" width="82.85546875" style="16" bestFit="1" customWidth="1"/>
    <col min="9480" max="9480" width="11" style="16" bestFit="1" customWidth="1"/>
    <col min="9481" max="9481" width="9.140625" style="16" customWidth="1"/>
    <col min="9482" max="9729" width="11.42578125" style="16"/>
    <col min="9730" max="9730" width="20.7109375" style="16" customWidth="1"/>
    <col min="9731" max="9731" width="10.42578125" style="16" customWidth="1"/>
    <col min="9732" max="9732" width="11.5703125" style="16" bestFit="1" customWidth="1"/>
    <col min="9733" max="9733" width="12.85546875" style="16" bestFit="1" customWidth="1"/>
    <col min="9734" max="9734" width="59.28515625" style="16" bestFit="1" customWidth="1"/>
    <col min="9735" max="9735" width="82.85546875" style="16" bestFit="1" customWidth="1"/>
    <col min="9736" max="9736" width="11" style="16" bestFit="1" customWidth="1"/>
    <col min="9737" max="9737" width="9.140625" style="16" customWidth="1"/>
    <col min="9738" max="9985" width="11.42578125" style="16"/>
    <col min="9986" max="9986" width="20.7109375" style="16" customWidth="1"/>
    <col min="9987" max="9987" width="10.42578125" style="16" customWidth="1"/>
    <col min="9988" max="9988" width="11.5703125" style="16" bestFit="1" customWidth="1"/>
    <col min="9989" max="9989" width="12.85546875" style="16" bestFit="1" customWidth="1"/>
    <col min="9990" max="9990" width="59.28515625" style="16" bestFit="1" customWidth="1"/>
    <col min="9991" max="9991" width="82.85546875" style="16" bestFit="1" customWidth="1"/>
    <col min="9992" max="9992" width="11" style="16" bestFit="1" customWidth="1"/>
    <col min="9993" max="9993" width="9.140625" style="16" customWidth="1"/>
    <col min="9994" max="10241" width="11.42578125" style="16"/>
    <col min="10242" max="10242" width="20.7109375" style="16" customWidth="1"/>
    <col min="10243" max="10243" width="10.42578125" style="16" customWidth="1"/>
    <col min="10244" max="10244" width="11.5703125" style="16" bestFit="1" customWidth="1"/>
    <col min="10245" max="10245" width="12.85546875" style="16" bestFit="1" customWidth="1"/>
    <col min="10246" max="10246" width="59.28515625" style="16" bestFit="1" customWidth="1"/>
    <col min="10247" max="10247" width="82.85546875" style="16" bestFit="1" customWidth="1"/>
    <col min="10248" max="10248" width="11" style="16" bestFit="1" customWidth="1"/>
    <col min="10249" max="10249" width="9.140625" style="16" customWidth="1"/>
    <col min="10250" max="10497" width="11.42578125" style="16"/>
    <col min="10498" max="10498" width="20.7109375" style="16" customWidth="1"/>
    <col min="10499" max="10499" width="10.42578125" style="16" customWidth="1"/>
    <col min="10500" max="10500" width="11.5703125" style="16" bestFit="1" customWidth="1"/>
    <col min="10501" max="10501" width="12.85546875" style="16" bestFit="1" customWidth="1"/>
    <col min="10502" max="10502" width="59.28515625" style="16" bestFit="1" customWidth="1"/>
    <col min="10503" max="10503" width="82.85546875" style="16" bestFit="1" customWidth="1"/>
    <col min="10504" max="10504" width="11" style="16" bestFit="1" customWidth="1"/>
    <col min="10505" max="10505" width="9.140625" style="16" customWidth="1"/>
    <col min="10506" max="10753" width="11.42578125" style="16"/>
    <col min="10754" max="10754" width="20.7109375" style="16" customWidth="1"/>
    <col min="10755" max="10755" width="10.42578125" style="16" customWidth="1"/>
    <col min="10756" max="10756" width="11.5703125" style="16" bestFit="1" customWidth="1"/>
    <col min="10757" max="10757" width="12.85546875" style="16" bestFit="1" customWidth="1"/>
    <col min="10758" max="10758" width="59.28515625" style="16" bestFit="1" customWidth="1"/>
    <col min="10759" max="10759" width="82.85546875" style="16" bestFit="1" customWidth="1"/>
    <col min="10760" max="10760" width="11" style="16" bestFit="1" customWidth="1"/>
    <col min="10761" max="10761" width="9.140625" style="16" customWidth="1"/>
    <col min="10762" max="11009" width="11.42578125" style="16"/>
    <col min="11010" max="11010" width="20.7109375" style="16" customWidth="1"/>
    <col min="11011" max="11011" width="10.42578125" style="16" customWidth="1"/>
    <col min="11012" max="11012" width="11.5703125" style="16" bestFit="1" customWidth="1"/>
    <col min="11013" max="11013" width="12.85546875" style="16" bestFit="1" customWidth="1"/>
    <col min="11014" max="11014" width="59.28515625" style="16" bestFit="1" customWidth="1"/>
    <col min="11015" max="11015" width="82.85546875" style="16" bestFit="1" customWidth="1"/>
    <col min="11016" max="11016" width="11" style="16" bestFit="1" customWidth="1"/>
    <col min="11017" max="11017" width="9.140625" style="16" customWidth="1"/>
    <col min="11018" max="11265" width="11.42578125" style="16"/>
    <col min="11266" max="11266" width="20.7109375" style="16" customWidth="1"/>
    <col min="11267" max="11267" width="10.42578125" style="16" customWidth="1"/>
    <col min="11268" max="11268" width="11.5703125" style="16" bestFit="1" customWidth="1"/>
    <col min="11269" max="11269" width="12.85546875" style="16" bestFit="1" customWidth="1"/>
    <col min="11270" max="11270" width="59.28515625" style="16" bestFit="1" customWidth="1"/>
    <col min="11271" max="11271" width="82.85546875" style="16" bestFit="1" customWidth="1"/>
    <col min="11272" max="11272" width="11" style="16" bestFit="1" customWidth="1"/>
    <col min="11273" max="11273" width="9.140625" style="16" customWidth="1"/>
    <col min="11274" max="11521" width="11.42578125" style="16"/>
    <col min="11522" max="11522" width="20.7109375" style="16" customWidth="1"/>
    <col min="11523" max="11523" width="10.42578125" style="16" customWidth="1"/>
    <col min="11524" max="11524" width="11.5703125" style="16" bestFit="1" customWidth="1"/>
    <col min="11525" max="11525" width="12.85546875" style="16" bestFit="1" customWidth="1"/>
    <col min="11526" max="11526" width="59.28515625" style="16" bestFit="1" customWidth="1"/>
    <col min="11527" max="11527" width="82.85546875" style="16" bestFit="1" customWidth="1"/>
    <col min="11528" max="11528" width="11" style="16" bestFit="1" customWidth="1"/>
    <col min="11529" max="11529" width="9.140625" style="16" customWidth="1"/>
    <col min="11530" max="11777" width="11.42578125" style="16"/>
    <col min="11778" max="11778" width="20.7109375" style="16" customWidth="1"/>
    <col min="11779" max="11779" width="10.42578125" style="16" customWidth="1"/>
    <col min="11780" max="11780" width="11.5703125" style="16" bestFit="1" customWidth="1"/>
    <col min="11781" max="11781" width="12.85546875" style="16" bestFit="1" customWidth="1"/>
    <col min="11782" max="11782" width="59.28515625" style="16" bestFit="1" customWidth="1"/>
    <col min="11783" max="11783" width="82.85546875" style="16" bestFit="1" customWidth="1"/>
    <col min="11784" max="11784" width="11" style="16" bestFit="1" customWidth="1"/>
    <col min="11785" max="11785" width="9.140625" style="16" customWidth="1"/>
    <col min="11786" max="12033" width="11.42578125" style="16"/>
    <col min="12034" max="12034" width="20.7109375" style="16" customWidth="1"/>
    <col min="12035" max="12035" width="10.42578125" style="16" customWidth="1"/>
    <col min="12036" max="12036" width="11.5703125" style="16" bestFit="1" customWidth="1"/>
    <col min="12037" max="12037" width="12.85546875" style="16" bestFit="1" customWidth="1"/>
    <col min="12038" max="12038" width="59.28515625" style="16" bestFit="1" customWidth="1"/>
    <col min="12039" max="12039" width="82.85546875" style="16" bestFit="1" customWidth="1"/>
    <col min="12040" max="12040" width="11" style="16" bestFit="1" customWidth="1"/>
    <col min="12041" max="12041" width="9.140625" style="16" customWidth="1"/>
    <col min="12042" max="12289" width="11.42578125" style="16"/>
    <col min="12290" max="12290" width="20.7109375" style="16" customWidth="1"/>
    <col min="12291" max="12291" width="10.42578125" style="16" customWidth="1"/>
    <col min="12292" max="12292" width="11.5703125" style="16" bestFit="1" customWidth="1"/>
    <col min="12293" max="12293" width="12.85546875" style="16" bestFit="1" customWidth="1"/>
    <col min="12294" max="12294" width="59.28515625" style="16" bestFit="1" customWidth="1"/>
    <col min="12295" max="12295" width="82.85546875" style="16" bestFit="1" customWidth="1"/>
    <col min="12296" max="12296" width="11" style="16" bestFit="1" customWidth="1"/>
    <col min="12297" max="12297" width="9.140625" style="16" customWidth="1"/>
    <col min="12298" max="12545" width="11.42578125" style="16"/>
    <col min="12546" max="12546" width="20.7109375" style="16" customWidth="1"/>
    <col min="12547" max="12547" width="10.42578125" style="16" customWidth="1"/>
    <col min="12548" max="12548" width="11.5703125" style="16" bestFit="1" customWidth="1"/>
    <col min="12549" max="12549" width="12.85546875" style="16" bestFit="1" customWidth="1"/>
    <col min="12550" max="12550" width="59.28515625" style="16" bestFit="1" customWidth="1"/>
    <col min="12551" max="12551" width="82.85546875" style="16" bestFit="1" customWidth="1"/>
    <col min="12552" max="12552" width="11" style="16" bestFit="1" customWidth="1"/>
    <col min="12553" max="12553" width="9.140625" style="16" customWidth="1"/>
    <col min="12554" max="12801" width="11.42578125" style="16"/>
    <col min="12802" max="12802" width="20.7109375" style="16" customWidth="1"/>
    <col min="12803" max="12803" width="10.42578125" style="16" customWidth="1"/>
    <col min="12804" max="12804" width="11.5703125" style="16" bestFit="1" customWidth="1"/>
    <col min="12805" max="12805" width="12.85546875" style="16" bestFit="1" customWidth="1"/>
    <col min="12806" max="12806" width="59.28515625" style="16" bestFit="1" customWidth="1"/>
    <col min="12807" max="12807" width="82.85546875" style="16" bestFit="1" customWidth="1"/>
    <col min="12808" max="12808" width="11" style="16" bestFit="1" customWidth="1"/>
    <col min="12809" max="12809" width="9.140625" style="16" customWidth="1"/>
    <col min="12810" max="13057" width="11.42578125" style="16"/>
    <col min="13058" max="13058" width="20.7109375" style="16" customWidth="1"/>
    <col min="13059" max="13059" width="10.42578125" style="16" customWidth="1"/>
    <col min="13060" max="13060" width="11.5703125" style="16" bestFit="1" customWidth="1"/>
    <col min="13061" max="13061" width="12.85546875" style="16" bestFit="1" customWidth="1"/>
    <col min="13062" max="13062" width="59.28515625" style="16" bestFit="1" customWidth="1"/>
    <col min="13063" max="13063" width="82.85546875" style="16" bestFit="1" customWidth="1"/>
    <col min="13064" max="13064" width="11" style="16" bestFit="1" customWidth="1"/>
    <col min="13065" max="13065" width="9.140625" style="16" customWidth="1"/>
    <col min="13066" max="13313" width="11.42578125" style="16"/>
    <col min="13314" max="13314" width="20.7109375" style="16" customWidth="1"/>
    <col min="13315" max="13315" width="10.42578125" style="16" customWidth="1"/>
    <col min="13316" max="13316" width="11.5703125" style="16" bestFit="1" customWidth="1"/>
    <col min="13317" max="13317" width="12.85546875" style="16" bestFit="1" customWidth="1"/>
    <col min="13318" max="13318" width="59.28515625" style="16" bestFit="1" customWidth="1"/>
    <col min="13319" max="13319" width="82.85546875" style="16" bestFit="1" customWidth="1"/>
    <col min="13320" max="13320" width="11" style="16" bestFit="1" customWidth="1"/>
    <col min="13321" max="13321" width="9.140625" style="16" customWidth="1"/>
    <col min="13322" max="13569" width="11.42578125" style="16"/>
    <col min="13570" max="13570" width="20.7109375" style="16" customWidth="1"/>
    <col min="13571" max="13571" width="10.42578125" style="16" customWidth="1"/>
    <col min="13572" max="13572" width="11.5703125" style="16" bestFit="1" customWidth="1"/>
    <col min="13573" max="13573" width="12.85546875" style="16" bestFit="1" customWidth="1"/>
    <col min="13574" max="13574" width="59.28515625" style="16" bestFit="1" customWidth="1"/>
    <col min="13575" max="13575" width="82.85546875" style="16" bestFit="1" customWidth="1"/>
    <col min="13576" max="13576" width="11" style="16" bestFit="1" customWidth="1"/>
    <col min="13577" max="13577" width="9.140625" style="16" customWidth="1"/>
    <col min="13578" max="13825" width="11.42578125" style="16"/>
    <col min="13826" max="13826" width="20.7109375" style="16" customWidth="1"/>
    <col min="13827" max="13827" width="10.42578125" style="16" customWidth="1"/>
    <col min="13828" max="13828" width="11.5703125" style="16" bestFit="1" customWidth="1"/>
    <col min="13829" max="13829" width="12.85546875" style="16" bestFit="1" customWidth="1"/>
    <col min="13830" max="13830" width="59.28515625" style="16" bestFit="1" customWidth="1"/>
    <col min="13831" max="13831" width="82.85546875" style="16" bestFit="1" customWidth="1"/>
    <col min="13832" max="13832" width="11" style="16" bestFit="1" customWidth="1"/>
    <col min="13833" max="13833" width="9.140625" style="16" customWidth="1"/>
    <col min="13834" max="14081" width="11.42578125" style="16"/>
    <col min="14082" max="14082" width="20.7109375" style="16" customWidth="1"/>
    <col min="14083" max="14083" width="10.42578125" style="16" customWidth="1"/>
    <col min="14084" max="14084" width="11.5703125" style="16" bestFit="1" customWidth="1"/>
    <col min="14085" max="14085" width="12.85546875" style="16" bestFit="1" customWidth="1"/>
    <col min="14086" max="14086" width="59.28515625" style="16" bestFit="1" customWidth="1"/>
    <col min="14087" max="14087" width="82.85546875" style="16" bestFit="1" customWidth="1"/>
    <col min="14088" max="14088" width="11" style="16" bestFit="1" customWidth="1"/>
    <col min="14089" max="14089" width="9.140625" style="16" customWidth="1"/>
    <col min="14090" max="14337" width="11.42578125" style="16"/>
    <col min="14338" max="14338" width="20.7109375" style="16" customWidth="1"/>
    <col min="14339" max="14339" width="10.42578125" style="16" customWidth="1"/>
    <col min="14340" max="14340" width="11.5703125" style="16" bestFit="1" customWidth="1"/>
    <col min="14341" max="14341" width="12.85546875" style="16" bestFit="1" customWidth="1"/>
    <col min="14342" max="14342" width="59.28515625" style="16" bestFit="1" customWidth="1"/>
    <col min="14343" max="14343" width="82.85546875" style="16" bestFit="1" customWidth="1"/>
    <col min="14344" max="14344" width="11" style="16" bestFit="1" customWidth="1"/>
    <col min="14345" max="14345" width="9.140625" style="16" customWidth="1"/>
    <col min="14346" max="14593" width="11.42578125" style="16"/>
    <col min="14594" max="14594" width="20.7109375" style="16" customWidth="1"/>
    <col min="14595" max="14595" width="10.42578125" style="16" customWidth="1"/>
    <col min="14596" max="14596" width="11.5703125" style="16" bestFit="1" customWidth="1"/>
    <col min="14597" max="14597" width="12.85546875" style="16" bestFit="1" customWidth="1"/>
    <col min="14598" max="14598" width="59.28515625" style="16" bestFit="1" customWidth="1"/>
    <col min="14599" max="14599" width="82.85546875" style="16" bestFit="1" customWidth="1"/>
    <col min="14600" max="14600" width="11" style="16" bestFit="1" customWidth="1"/>
    <col min="14601" max="14601" width="9.140625" style="16" customWidth="1"/>
    <col min="14602" max="14849" width="11.42578125" style="16"/>
    <col min="14850" max="14850" width="20.7109375" style="16" customWidth="1"/>
    <col min="14851" max="14851" width="10.42578125" style="16" customWidth="1"/>
    <col min="14852" max="14852" width="11.5703125" style="16" bestFit="1" customWidth="1"/>
    <col min="14853" max="14853" width="12.85546875" style="16" bestFit="1" customWidth="1"/>
    <col min="14854" max="14854" width="59.28515625" style="16" bestFit="1" customWidth="1"/>
    <col min="14855" max="14855" width="82.85546875" style="16" bestFit="1" customWidth="1"/>
    <col min="14856" max="14856" width="11" style="16" bestFit="1" customWidth="1"/>
    <col min="14857" max="14857" width="9.140625" style="16" customWidth="1"/>
    <col min="14858" max="15105" width="11.42578125" style="16"/>
    <col min="15106" max="15106" width="20.7109375" style="16" customWidth="1"/>
    <col min="15107" max="15107" width="10.42578125" style="16" customWidth="1"/>
    <col min="15108" max="15108" width="11.5703125" style="16" bestFit="1" customWidth="1"/>
    <col min="15109" max="15109" width="12.85546875" style="16" bestFit="1" customWidth="1"/>
    <col min="15110" max="15110" width="59.28515625" style="16" bestFit="1" customWidth="1"/>
    <col min="15111" max="15111" width="82.85546875" style="16" bestFit="1" customWidth="1"/>
    <col min="15112" max="15112" width="11" style="16" bestFit="1" customWidth="1"/>
    <col min="15113" max="15113" width="9.140625" style="16" customWidth="1"/>
    <col min="15114" max="15361" width="11.42578125" style="16"/>
    <col min="15362" max="15362" width="20.7109375" style="16" customWidth="1"/>
    <col min="15363" max="15363" width="10.42578125" style="16" customWidth="1"/>
    <col min="15364" max="15364" width="11.5703125" style="16" bestFit="1" customWidth="1"/>
    <col min="15365" max="15365" width="12.85546875" style="16" bestFit="1" customWidth="1"/>
    <col min="15366" max="15366" width="59.28515625" style="16" bestFit="1" customWidth="1"/>
    <col min="15367" max="15367" width="82.85546875" style="16" bestFit="1" customWidth="1"/>
    <col min="15368" max="15368" width="11" style="16" bestFit="1" customWidth="1"/>
    <col min="15369" max="15369" width="9.140625" style="16" customWidth="1"/>
    <col min="15370" max="15617" width="11.42578125" style="16"/>
    <col min="15618" max="15618" width="20.7109375" style="16" customWidth="1"/>
    <col min="15619" max="15619" width="10.42578125" style="16" customWidth="1"/>
    <col min="15620" max="15620" width="11.5703125" style="16" bestFit="1" customWidth="1"/>
    <col min="15621" max="15621" width="12.85546875" style="16" bestFit="1" customWidth="1"/>
    <col min="15622" max="15622" width="59.28515625" style="16" bestFit="1" customWidth="1"/>
    <col min="15623" max="15623" width="82.85546875" style="16" bestFit="1" customWidth="1"/>
    <col min="15624" max="15624" width="11" style="16" bestFit="1" customWidth="1"/>
    <col min="15625" max="15625" width="9.140625" style="16" customWidth="1"/>
    <col min="15626" max="15873" width="11.42578125" style="16"/>
    <col min="15874" max="15874" width="20.7109375" style="16" customWidth="1"/>
    <col min="15875" max="15875" width="10.42578125" style="16" customWidth="1"/>
    <col min="15876" max="15876" width="11.5703125" style="16" bestFit="1" customWidth="1"/>
    <col min="15877" max="15877" width="12.85546875" style="16" bestFit="1" customWidth="1"/>
    <col min="15878" max="15878" width="59.28515625" style="16" bestFit="1" customWidth="1"/>
    <col min="15879" max="15879" width="82.85546875" style="16" bestFit="1" customWidth="1"/>
    <col min="15880" max="15880" width="11" style="16" bestFit="1" customWidth="1"/>
    <col min="15881" max="15881" width="9.140625" style="16" customWidth="1"/>
    <col min="15882" max="16129" width="11.42578125" style="16"/>
    <col min="16130" max="16130" width="20.7109375" style="16" customWidth="1"/>
    <col min="16131" max="16131" width="10.42578125" style="16" customWidth="1"/>
    <col min="16132" max="16132" width="11.5703125" style="16" bestFit="1" customWidth="1"/>
    <col min="16133" max="16133" width="12.85546875" style="16" bestFit="1" customWidth="1"/>
    <col min="16134" max="16134" width="59.28515625" style="16" bestFit="1" customWidth="1"/>
    <col min="16135" max="16135" width="82.85546875" style="16" bestFit="1" customWidth="1"/>
    <col min="16136" max="16136" width="11" style="16" bestFit="1" customWidth="1"/>
    <col min="16137" max="16137" width="9.140625" style="16" customWidth="1"/>
    <col min="16138" max="16384" width="11.42578125" style="16"/>
  </cols>
  <sheetData>
    <row r="1" spans="1:9" ht="22.5" x14ac:dyDescent="0.3">
      <c r="B1" s="13" t="s">
        <v>33</v>
      </c>
      <c r="C1" s="13" t="s">
        <v>74</v>
      </c>
      <c r="D1" s="13" t="s">
        <v>35</v>
      </c>
      <c r="E1" s="13">
        <f>H22+H41</f>
        <v>18</v>
      </c>
      <c r="F1" s="22" t="s">
        <v>45</v>
      </c>
      <c r="G1" s="25">
        <v>44832</v>
      </c>
      <c r="H1" s="13"/>
    </row>
    <row r="2" spans="1:9" ht="22.5" x14ac:dyDescent="0.3">
      <c r="B2" s="13" t="s">
        <v>34</v>
      </c>
      <c r="C2" s="23" t="s">
        <v>47</v>
      </c>
      <c r="D2" s="13" t="s">
        <v>31</v>
      </c>
      <c r="E2" s="13">
        <f>I22+I41</f>
        <v>100.5</v>
      </c>
      <c r="F2" s="22" t="s">
        <v>38</v>
      </c>
      <c r="G2" s="24">
        <v>0.375</v>
      </c>
      <c r="H2" s="88"/>
    </row>
    <row r="3" spans="1:9" ht="22.5" x14ac:dyDescent="0.3">
      <c r="B3" s="13"/>
      <c r="C3" s="23"/>
      <c r="D3" s="13"/>
      <c r="E3" s="13"/>
      <c r="F3" s="22" t="s">
        <v>46</v>
      </c>
      <c r="G3" s="25">
        <v>44831</v>
      </c>
      <c r="H3" s="13"/>
    </row>
    <row r="4" spans="1:9" ht="22.5" x14ac:dyDescent="0.3">
      <c r="A4" s="13" t="s">
        <v>44</v>
      </c>
      <c r="B4" s="13" t="s">
        <v>100</v>
      </c>
      <c r="C4" s="13"/>
      <c r="D4" s="13"/>
      <c r="E4" s="13"/>
      <c r="F4" s="14"/>
      <c r="G4" s="15"/>
      <c r="H4" s="13"/>
    </row>
    <row r="5" spans="1:9" ht="22.5" x14ac:dyDescent="0.3">
      <c r="B5" s="13" t="s">
        <v>24</v>
      </c>
      <c r="C5" s="13" t="s">
        <v>25</v>
      </c>
      <c r="D5" s="13" t="s">
        <v>26</v>
      </c>
      <c r="E5" s="13" t="s">
        <v>27</v>
      </c>
      <c r="F5" s="13" t="s">
        <v>28</v>
      </c>
      <c r="G5" s="17" t="s">
        <v>29</v>
      </c>
      <c r="H5" s="13" t="s">
        <v>30</v>
      </c>
      <c r="I5" s="13" t="s">
        <v>31</v>
      </c>
    </row>
    <row r="6" spans="1:9" ht="22.5" x14ac:dyDescent="0.3">
      <c r="A6" s="20">
        <v>1</v>
      </c>
      <c r="B6" s="13">
        <v>6488846162</v>
      </c>
      <c r="C6" s="13" t="s">
        <v>101</v>
      </c>
      <c r="D6" s="13" t="s">
        <v>53</v>
      </c>
      <c r="E6" s="13" t="s">
        <v>52</v>
      </c>
      <c r="F6" s="13" t="s">
        <v>102</v>
      </c>
      <c r="G6" s="17" t="s">
        <v>103</v>
      </c>
      <c r="H6" s="13">
        <v>1</v>
      </c>
      <c r="I6" s="13">
        <v>1</v>
      </c>
    </row>
    <row r="7" spans="1:9" ht="22.5" x14ac:dyDescent="0.3">
      <c r="A7" s="20">
        <f t="shared" ref="A7:A20" si="0">A6+1</f>
        <v>2</v>
      </c>
      <c r="B7" s="13">
        <v>6488897450</v>
      </c>
      <c r="C7" s="13" t="s">
        <v>101</v>
      </c>
      <c r="D7" s="13" t="s">
        <v>53</v>
      </c>
      <c r="E7" s="13" t="s">
        <v>52</v>
      </c>
      <c r="F7" s="13" t="s">
        <v>104</v>
      </c>
      <c r="G7" s="17" t="s">
        <v>105</v>
      </c>
      <c r="H7" s="13">
        <v>1</v>
      </c>
      <c r="I7" s="13">
        <v>1</v>
      </c>
    </row>
    <row r="8" spans="1:9" ht="22.5" x14ac:dyDescent="0.3">
      <c r="A8" s="20">
        <f t="shared" si="0"/>
        <v>3</v>
      </c>
      <c r="B8" s="13"/>
      <c r="C8" s="13"/>
      <c r="D8" s="13"/>
      <c r="E8" s="13"/>
      <c r="F8" s="13"/>
      <c r="G8" s="17"/>
      <c r="H8" s="13"/>
      <c r="I8" s="13"/>
    </row>
    <row r="9" spans="1:9" ht="22.5" x14ac:dyDescent="0.3">
      <c r="A9" s="20">
        <f t="shared" si="0"/>
        <v>4</v>
      </c>
      <c r="B9" s="13"/>
      <c r="C9" s="13"/>
      <c r="D9" s="13"/>
      <c r="E9" s="13"/>
      <c r="F9" s="13"/>
      <c r="G9" s="13"/>
      <c r="H9" s="13"/>
      <c r="I9" s="13"/>
    </row>
    <row r="10" spans="1:9" ht="22.5" x14ac:dyDescent="0.3">
      <c r="A10" s="20">
        <f t="shared" si="0"/>
        <v>5</v>
      </c>
      <c r="B10" s="13"/>
      <c r="C10" s="13"/>
      <c r="D10" s="13"/>
      <c r="E10" s="13"/>
      <c r="F10" s="13"/>
      <c r="G10" s="17"/>
      <c r="H10" s="13"/>
      <c r="I10" s="13"/>
    </row>
    <row r="11" spans="1:9" ht="22.5" x14ac:dyDescent="0.3">
      <c r="A11" s="20">
        <f t="shared" si="0"/>
        <v>6</v>
      </c>
      <c r="B11" s="13"/>
      <c r="C11" s="13"/>
      <c r="D11" s="13"/>
      <c r="E11" s="13"/>
      <c r="F11" s="13"/>
      <c r="G11" s="17"/>
      <c r="H11" s="13"/>
      <c r="I11" s="13"/>
    </row>
    <row r="12" spans="1:9" ht="22.5" x14ac:dyDescent="0.3">
      <c r="A12" s="20">
        <f t="shared" si="0"/>
        <v>7</v>
      </c>
      <c r="B12" s="13"/>
      <c r="C12" s="13"/>
      <c r="D12" s="13"/>
      <c r="E12" s="13"/>
      <c r="F12" s="13"/>
      <c r="G12" s="17"/>
      <c r="H12" s="13"/>
      <c r="I12" s="13"/>
    </row>
    <row r="13" spans="1:9" ht="22.5" x14ac:dyDescent="0.3">
      <c r="A13" s="20">
        <f t="shared" si="0"/>
        <v>8</v>
      </c>
      <c r="B13" s="13"/>
      <c r="C13" s="13"/>
      <c r="D13" s="13"/>
      <c r="E13" s="13"/>
      <c r="F13" s="13"/>
      <c r="G13" s="17"/>
      <c r="H13" s="13"/>
      <c r="I13" s="13"/>
    </row>
    <row r="14" spans="1:9" ht="22.5" x14ac:dyDescent="0.3">
      <c r="A14" s="20">
        <f t="shared" si="0"/>
        <v>9</v>
      </c>
      <c r="B14" s="13"/>
      <c r="C14" s="13"/>
      <c r="D14" s="13"/>
      <c r="E14" s="13"/>
      <c r="F14" s="13"/>
      <c r="G14" s="17"/>
      <c r="H14" s="13"/>
      <c r="I14" s="13"/>
    </row>
    <row r="15" spans="1:9" ht="22.5" x14ac:dyDescent="0.3">
      <c r="A15" s="20">
        <f t="shared" si="0"/>
        <v>10</v>
      </c>
      <c r="B15" s="13"/>
      <c r="C15" s="13"/>
      <c r="D15" s="13"/>
      <c r="E15" s="13"/>
      <c r="F15" s="13"/>
      <c r="G15" s="17"/>
      <c r="H15" s="13"/>
      <c r="I15" s="13"/>
    </row>
    <row r="16" spans="1:9" ht="22.5" x14ac:dyDescent="0.3">
      <c r="A16" s="20">
        <f t="shared" si="0"/>
        <v>11</v>
      </c>
      <c r="B16" s="13"/>
      <c r="C16" s="13"/>
      <c r="D16" s="13"/>
      <c r="E16" s="13"/>
      <c r="F16" s="13"/>
      <c r="G16" s="17"/>
      <c r="H16" s="13"/>
      <c r="I16" s="13"/>
    </row>
    <row r="17" spans="1:9" ht="22.5" x14ac:dyDescent="0.3">
      <c r="A17" s="20">
        <f t="shared" si="0"/>
        <v>12</v>
      </c>
      <c r="B17" s="13"/>
      <c r="C17" s="13"/>
      <c r="D17" s="13"/>
      <c r="E17" s="13"/>
      <c r="F17" s="13"/>
      <c r="G17" s="17"/>
      <c r="H17" s="13"/>
      <c r="I17" s="13"/>
    </row>
    <row r="18" spans="1:9" ht="22.5" x14ac:dyDescent="0.3">
      <c r="A18" s="20">
        <f t="shared" si="0"/>
        <v>13</v>
      </c>
      <c r="B18" s="13"/>
      <c r="C18" s="13"/>
      <c r="D18" s="13"/>
      <c r="E18" s="13"/>
      <c r="F18" s="13"/>
      <c r="G18" s="17"/>
      <c r="H18" s="13"/>
      <c r="I18" s="13"/>
    </row>
    <row r="19" spans="1:9" ht="22.5" x14ac:dyDescent="0.3">
      <c r="A19" s="20">
        <f t="shared" si="0"/>
        <v>14</v>
      </c>
      <c r="B19" s="13"/>
      <c r="C19" s="13"/>
      <c r="D19" s="13"/>
      <c r="E19" s="13"/>
      <c r="F19" s="13"/>
      <c r="G19" s="17"/>
      <c r="H19" s="13"/>
      <c r="I19" s="13"/>
    </row>
    <row r="20" spans="1:9" ht="22.5" x14ac:dyDescent="0.3">
      <c r="A20" s="20">
        <f t="shared" si="0"/>
        <v>15</v>
      </c>
      <c r="B20" s="13"/>
      <c r="C20" s="13"/>
      <c r="D20" s="13"/>
      <c r="E20" s="13"/>
      <c r="F20" s="13"/>
      <c r="G20" s="17"/>
      <c r="H20" s="13"/>
      <c r="I20" s="13"/>
    </row>
    <row r="21" spans="1:9" ht="22.5" x14ac:dyDescent="0.3">
      <c r="A21" s="20"/>
      <c r="B21" s="13"/>
      <c r="C21" s="13"/>
      <c r="D21" s="13"/>
      <c r="E21" s="13"/>
      <c r="F21" s="13"/>
      <c r="G21" s="17"/>
      <c r="H21" s="13"/>
      <c r="I21" s="13"/>
    </row>
    <row r="22" spans="1:9" ht="22.5" x14ac:dyDescent="0.3">
      <c r="A22" s="20" t="s">
        <v>44</v>
      </c>
      <c r="B22" s="13" t="s">
        <v>99</v>
      </c>
      <c r="C22" s="13"/>
      <c r="D22" s="13"/>
      <c r="E22" s="13"/>
      <c r="F22" s="13"/>
      <c r="G22" s="82" t="s">
        <v>37</v>
      </c>
      <c r="H22" s="13">
        <f>SUM(H6:H21)</f>
        <v>2</v>
      </c>
      <c r="I22" s="13">
        <f>SUM(I6:I21)</f>
        <v>2</v>
      </c>
    </row>
    <row r="23" spans="1:9" ht="22.5" x14ac:dyDescent="0.3">
      <c r="A23" s="20"/>
      <c r="B23" s="13" t="s">
        <v>24</v>
      </c>
      <c r="C23" s="13" t="s">
        <v>25</v>
      </c>
      <c r="D23" s="13" t="s">
        <v>26</v>
      </c>
      <c r="E23" s="13" t="s">
        <v>27</v>
      </c>
      <c r="F23" s="13" t="s">
        <v>28</v>
      </c>
      <c r="G23" s="13" t="s">
        <v>32</v>
      </c>
      <c r="H23" s="13" t="s">
        <v>30</v>
      </c>
      <c r="I23" s="13" t="s">
        <v>31</v>
      </c>
    </row>
    <row r="24" spans="1:9" s="18" customFormat="1" ht="22.5" x14ac:dyDescent="0.3">
      <c r="A24" s="20">
        <f t="shared" ref="A24:A39" si="1">A23+1</f>
        <v>1</v>
      </c>
      <c r="B24" s="13">
        <v>1456374006</v>
      </c>
      <c r="C24" s="13" t="s">
        <v>78</v>
      </c>
      <c r="D24" s="13" t="s">
        <v>79</v>
      </c>
      <c r="E24" s="13" t="s">
        <v>52</v>
      </c>
      <c r="F24" s="13" t="s">
        <v>80</v>
      </c>
      <c r="G24" s="13" t="s">
        <v>81</v>
      </c>
      <c r="H24" s="13">
        <v>1</v>
      </c>
      <c r="I24" s="13">
        <v>2</v>
      </c>
    </row>
    <row r="25" spans="1:9" ht="22.5" x14ac:dyDescent="0.3">
      <c r="A25" s="20">
        <f t="shared" si="1"/>
        <v>2</v>
      </c>
      <c r="B25" s="13">
        <v>2477068381</v>
      </c>
      <c r="C25" s="13" t="s">
        <v>82</v>
      </c>
      <c r="D25" s="13" t="s">
        <v>53</v>
      </c>
      <c r="E25" s="13" t="s">
        <v>52</v>
      </c>
      <c r="F25" s="13" t="s">
        <v>108</v>
      </c>
      <c r="G25" s="13" t="s">
        <v>98</v>
      </c>
      <c r="H25" s="13">
        <v>1</v>
      </c>
      <c r="I25" s="13">
        <v>5</v>
      </c>
    </row>
    <row r="26" spans="1:9" s="18" customFormat="1" ht="22.5" x14ac:dyDescent="0.3">
      <c r="A26" s="20">
        <f t="shared" si="1"/>
        <v>3</v>
      </c>
      <c r="B26" s="13">
        <v>2477108454</v>
      </c>
      <c r="C26" s="13" t="s">
        <v>82</v>
      </c>
      <c r="D26" s="13" t="s">
        <v>53</v>
      </c>
      <c r="E26" s="13" t="s">
        <v>52</v>
      </c>
      <c r="F26" s="13" t="s">
        <v>83</v>
      </c>
      <c r="G26" s="13" t="s">
        <v>84</v>
      </c>
      <c r="H26" s="13">
        <v>1</v>
      </c>
      <c r="I26" s="13">
        <v>2</v>
      </c>
    </row>
    <row r="27" spans="1:9" s="18" customFormat="1" ht="22.5" x14ac:dyDescent="0.3">
      <c r="A27" s="20">
        <f t="shared" si="1"/>
        <v>4</v>
      </c>
      <c r="B27" s="13">
        <v>2592516975</v>
      </c>
      <c r="C27" s="13" t="s">
        <v>82</v>
      </c>
      <c r="D27" s="13" t="s">
        <v>53</v>
      </c>
      <c r="E27" s="13" t="s">
        <v>52</v>
      </c>
      <c r="F27" s="13" t="s">
        <v>106</v>
      </c>
      <c r="G27" s="13" t="s">
        <v>98</v>
      </c>
      <c r="H27" s="13">
        <v>1</v>
      </c>
      <c r="I27" s="13">
        <v>3</v>
      </c>
    </row>
    <row r="28" spans="1:9" ht="22.5" x14ac:dyDescent="0.3">
      <c r="A28" s="20">
        <f t="shared" si="1"/>
        <v>5</v>
      </c>
      <c r="B28" s="13">
        <v>2592520755</v>
      </c>
      <c r="C28" s="13" t="s">
        <v>82</v>
      </c>
      <c r="D28" s="13" t="s">
        <v>53</v>
      </c>
      <c r="E28" s="13" t="s">
        <v>52</v>
      </c>
      <c r="F28" s="13" t="s">
        <v>97</v>
      </c>
      <c r="G28" s="13" t="s">
        <v>98</v>
      </c>
      <c r="H28" s="13">
        <v>7</v>
      </c>
      <c r="I28" s="13">
        <v>30</v>
      </c>
    </row>
    <row r="29" spans="1:9" ht="22.5" x14ac:dyDescent="0.3">
      <c r="A29" s="20">
        <f t="shared" si="1"/>
        <v>6</v>
      </c>
      <c r="B29" s="13">
        <v>2592525725</v>
      </c>
      <c r="C29" s="13" t="s">
        <v>82</v>
      </c>
      <c r="D29" s="13" t="s">
        <v>53</v>
      </c>
      <c r="E29" s="13" t="s">
        <v>52</v>
      </c>
      <c r="F29" s="13" t="s">
        <v>107</v>
      </c>
      <c r="G29" s="13" t="s">
        <v>98</v>
      </c>
      <c r="H29" s="13">
        <v>1</v>
      </c>
      <c r="I29" s="13">
        <v>3</v>
      </c>
    </row>
    <row r="30" spans="1:9" ht="22.5" x14ac:dyDescent="0.3">
      <c r="A30" s="20">
        <f t="shared" si="1"/>
        <v>7</v>
      </c>
      <c r="B30" s="13">
        <v>3414442920</v>
      </c>
      <c r="C30" s="13" t="s">
        <v>85</v>
      </c>
      <c r="D30" s="13" t="s">
        <v>86</v>
      </c>
      <c r="E30" s="13" t="s">
        <v>52</v>
      </c>
      <c r="F30" s="13" t="s">
        <v>87</v>
      </c>
      <c r="G30" s="13" t="s">
        <v>88</v>
      </c>
      <c r="H30" s="13">
        <v>1</v>
      </c>
      <c r="I30" s="13">
        <v>0.5</v>
      </c>
    </row>
    <row r="31" spans="1:9" ht="22.5" x14ac:dyDescent="0.3">
      <c r="A31" s="20">
        <f t="shared" si="1"/>
        <v>8</v>
      </c>
      <c r="B31" s="13">
        <v>3829802826</v>
      </c>
      <c r="C31" s="13" t="s">
        <v>78</v>
      </c>
      <c r="D31" s="13" t="s">
        <v>89</v>
      </c>
      <c r="E31" s="13" t="s">
        <v>52</v>
      </c>
      <c r="F31" s="13" t="s">
        <v>90</v>
      </c>
      <c r="G31" s="13" t="s">
        <v>91</v>
      </c>
      <c r="H31" s="13">
        <v>1</v>
      </c>
      <c r="I31" s="13">
        <v>2</v>
      </c>
    </row>
    <row r="32" spans="1:9" ht="22.5" x14ac:dyDescent="0.3">
      <c r="A32" s="20">
        <f t="shared" si="1"/>
        <v>9</v>
      </c>
      <c r="B32" s="13">
        <v>4451584745</v>
      </c>
      <c r="C32" s="13" t="s">
        <v>78</v>
      </c>
      <c r="D32" s="13" t="s">
        <v>94</v>
      </c>
      <c r="E32" s="13" t="s">
        <v>52</v>
      </c>
      <c r="F32" s="13" t="s">
        <v>95</v>
      </c>
      <c r="G32" s="13" t="s">
        <v>96</v>
      </c>
      <c r="H32" s="13">
        <v>1</v>
      </c>
      <c r="I32" s="13">
        <v>50</v>
      </c>
    </row>
    <row r="33" spans="1:9" s="18" customFormat="1" ht="22.5" x14ac:dyDescent="0.3">
      <c r="A33" s="20">
        <f t="shared" si="1"/>
        <v>10</v>
      </c>
      <c r="B33" s="13">
        <v>8643526334</v>
      </c>
      <c r="C33" s="13" t="s">
        <v>82</v>
      </c>
      <c r="D33" s="13" t="s">
        <v>53</v>
      </c>
      <c r="E33" s="13" t="s">
        <v>52</v>
      </c>
      <c r="F33" s="13" t="s">
        <v>92</v>
      </c>
      <c r="G33" s="13" t="s">
        <v>93</v>
      </c>
      <c r="H33" s="13">
        <v>1</v>
      </c>
      <c r="I33" s="13">
        <v>1</v>
      </c>
    </row>
    <row r="34" spans="1:9" ht="22.5" x14ac:dyDescent="0.3">
      <c r="A34" s="20">
        <f t="shared" si="1"/>
        <v>11</v>
      </c>
      <c r="B34" s="13"/>
      <c r="C34" s="13"/>
      <c r="D34" s="13"/>
      <c r="E34" s="13"/>
      <c r="F34" s="13"/>
      <c r="G34" s="13"/>
      <c r="H34" s="13"/>
      <c r="I34" s="13"/>
    </row>
    <row r="35" spans="1:9" ht="22.5" x14ac:dyDescent="0.3">
      <c r="A35" s="20">
        <f t="shared" si="1"/>
        <v>12</v>
      </c>
      <c r="B35" s="13"/>
      <c r="C35" s="13"/>
      <c r="D35" s="13"/>
      <c r="E35" s="13"/>
      <c r="F35" s="13"/>
      <c r="G35" s="17"/>
      <c r="H35" s="13"/>
      <c r="I35" s="13"/>
    </row>
    <row r="36" spans="1:9" ht="22.5" x14ac:dyDescent="0.3">
      <c r="A36" s="20">
        <f t="shared" si="1"/>
        <v>13</v>
      </c>
      <c r="B36" s="13"/>
      <c r="C36" s="13"/>
      <c r="D36" s="13"/>
      <c r="E36" s="13"/>
      <c r="F36" s="13"/>
      <c r="G36" s="17"/>
      <c r="H36" s="13"/>
      <c r="I36" s="13"/>
    </row>
    <row r="37" spans="1:9" ht="22.5" x14ac:dyDescent="0.3">
      <c r="A37" s="20">
        <f t="shared" si="1"/>
        <v>14</v>
      </c>
      <c r="B37" s="13"/>
      <c r="C37" s="13"/>
      <c r="D37" s="13"/>
      <c r="E37" s="13"/>
      <c r="F37" s="13"/>
      <c r="G37" s="17"/>
      <c r="H37" s="13"/>
      <c r="I37" s="13"/>
    </row>
    <row r="38" spans="1:9" ht="22.5" x14ac:dyDescent="0.3">
      <c r="A38" s="20">
        <f t="shared" si="1"/>
        <v>15</v>
      </c>
      <c r="B38" s="13"/>
      <c r="C38" s="13"/>
      <c r="D38" s="13"/>
      <c r="E38" s="13"/>
      <c r="F38" s="13"/>
      <c r="G38" s="17"/>
      <c r="H38" s="13"/>
      <c r="I38" s="13"/>
    </row>
    <row r="39" spans="1:9" ht="22.5" x14ac:dyDescent="0.3">
      <c r="A39" s="20">
        <f t="shared" si="1"/>
        <v>16</v>
      </c>
      <c r="B39" s="13"/>
      <c r="C39" s="13"/>
      <c r="D39" s="13"/>
      <c r="E39" s="13"/>
      <c r="F39" s="13"/>
      <c r="G39" s="17"/>
      <c r="H39" s="13"/>
      <c r="I39" s="13"/>
    </row>
    <row r="40" spans="1:9" ht="22.5" x14ac:dyDescent="0.3">
      <c r="A40" s="20"/>
      <c r="B40" s="13"/>
      <c r="C40" s="13"/>
      <c r="D40" s="13"/>
      <c r="E40" s="13"/>
      <c r="F40" s="13"/>
      <c r="G40" s="13"/>
      <c r="H40" s="13"/>
      <c r="I40" s="13"/>
    </row>
    <row r="41" spans="1:9" ht="22.5" x14ac:dyDescent="0.3">
      <c r="B41" s="13"/>
      <c r="C41" s="13"/>
      <c r="D41" s="13"/>
      <c r="E41" s="13"/>
      <c r="F41" s="13"/>
      <c r="G41" s="13" t="s">
        <v>37</v>
      </c>
      <c r="H41" s="13">
        <f>SUM(H24:H40)</f>
        <v>16</v>
      </c>
      <c r="I41" s="13">
        <f>SUM(I24:I40)</f>
        <v>98.5</v>
      </c>
    </row>
    <row r="42" spans="1:9" ht="22.5" x14ac:dyDescent="0.3">
      <c r="B42" s="13"/>
      <c r="C42" s="13"/>
      <c r="D42" s="13"/>
      <c r="E42" s="13"/>
      <c r="F42" s="13"/>
      <c r="G42" s="13"/>
      <c r="H42" s="13"/>
      <c r="I42" s="13"/>
    </row>
    <row r="43" spans="1:9" ht="22.5" x14ac:dyDescent="0.3">
      <c r="B43" s="13"/>
      <c r="C43" s="13"/>
      <c r="D43" s="13"/>
      <c r="E43" s="13"/>
      <c r="F43" s="13"/>
      <c r="G43" s="13"/>
      <c r="H43" s="13"/>
      <c r="I43" s="13"/>
    </row>
    <row r="44" spans="1:9" ht="22.5" x14ac:dyDescent="0.3">
      <c r="B44" s="19"/>
    </row>
  </sheetData>
  <sortState xmlns:xlrd2="http://schemas.microsoft.com/office/spreadsheetml/2017/richdata2" ref="B24:I38">
    <sortCondition ref="B24"/>
  </sortState>
  <printOptions gridLines="1"/>
  <pageMargins left="0.39370078740157499" right="0.39370078740157499" top="0.98425196850393704" bottom="0.39370078740157499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">
                <anchor moveWithCells="1" sizeWithCells="1">
                  <from>
                    <xdr:col>9</xdr:col>
                    <xdr:colOff>200025</xdr:colOff>
                    <xdr:row>7</xdr:row>
                    <xdr:rowOff>276225</xdr:rowOff>
                  </from>
                  <to>
                    <xdr:col>10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9</xdr:col>
                    <xdr:colOff>257175</xdr:colOff>
                    <xdr:row>13</xdr:row>
                    <xdr:rowOff>257175</xdr:rowOff>
                  </from>
                  <to>
                    <xdr:col>10</xdr:col>
                    <xdr:colOff>9525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2">
                <anchor moveWithCells="1" sizeWithCells="1">
                  <from>
                    <xdr:col>9</xdr:col>
                    <xdr:colOff>76200</xdr:colOff>
                    <xdr:row>30</xdr:row>
                    <xdr:rowOff>76200</xdr:rowOff>
                  </from>
                  <to>
                    <xdr:col>10</xdr:col>
                    <xdr:colOff>200025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N56"/>
  <sheetViews>
    <sheetView topLeftCell="A2" workbookViewId="0">
      <selection activeCell="B16" sqref="B16:E1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x14ac:dyDescent="0.25">
      <c r="A1" s="108" t="s">
        <v>0</v>
      </c>
      <c r="B1" s="109"/>
      <c r="C1" s="109"/>
      <c r="D1" s="109"/>
      <c r="E1" s="109"/>
      <c r="F1" s="109"/>
      <c r="G1" s="109"/>
      <c r="H1" s="109"/>
      <c r="I1" s="109"/>
      <c r="J1" s="109"/>
      <c r="K1" s="1"/>
      <c r="L1" s="1"/>
      <c r="M1" s="1"/>
      <c r="N1" s="1"/>
    </row>
    <row r="2" spans="1:14" ht="45.75" customHeight="1" x14ac:dyDescent="0.25">
      <c r="A2" s="101">
        <f>'Carga de Datos'!G1</f>
        <v>44832</v>
      </c>
      <c r="B2" s="101"/>
      <c r="C2" s="101"/>
      <c r="D2" s="101"/>
      <c r="E2" s="101"/>
      <c r="F2" s="102" t="s">
        <v>73</v>
      </c>
      <c r="G2" s="102"/>
      <c r="H2" s="102"/>
      <c r="I2" s="102"/>
      <c r="J2" s="102"/>
      <c r="K2" s="2"/>
      <c r="L2" s="2"/>
      <c r="M2" s="2"/>
      <c r="N2" s="2"/>
    </row>
    <row r="3" spans="1:14" ht="15" customHeight="1" x14ac:dyDescent="0.25">
      <c r="A3" s="112"/>
      <c r="B3" s="111"/>
      <c r="C3" s="111"/>
      <c r="D3" s="111"/>
      <c r="E3" s="111"/>
      <c r="F3" s="111"/>
      <c r="G3" s="111"/>
      <c r="H3" s="111"/>
      <c r="I3" s="111"/>
      <c r="J3" s="111"/>
      <c r="K3" s="3"/>
      <c r="L3" s="3"/>
      <c r="M3" s="3"/>
      <c r="N3" s="3"/>
    </row>
    <row r="4" spans="1:14" ht="15.75" customHeight="1" x14ac:dyDescent="0.25">
      <c r="A4" s="26" t="s">
        <v>41</v>
      </c>
      <c r="B4" s="30" t="str">
        <f>'Carga de Datos'!C1</f>
        <v>TB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18</v>
      </c>
      <c r="G4" s="26" t="s">
        <v>31</v>
      </c>
      <c r="H4" s="30">
        <f>'Carga de Datos'!E2</f>
        <v>100.5</v>
      </c>
      <c r="I4" s="26" t="s">
        <v>36</v>
      </c>
      <c r="J4" s="29" t="str">
        <f>'Carga de Datos'!B22</f>
        <v>H525644280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44832</v>
      </c>
      <c r="C5" s="28" t="s">
        <v>1</v>
      </c>
      <c r="D5" s="31">
        <f>'Carga de Datos'!G2</f>
        <v>0.375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3"/>
      <c r="B6" s="120"/>
      <c r="C6" s="120"/>
      <c r="D6" s="120"/>
      <c r="E6" s="120"/>
      <c r="F6" s="120"/>
      <c r="G6" s="120"/>
      <c r="H6" s="120"/>
      <c r="I6" s="120"/>
      <c r="J6" s="120"/>
      <c r="K6" s="4"/>
      <c r="L6" s="4"/>
      <c r="M6" s="4"/>
      <c r="N6" s="4"/>
    </row>
    <row r="7" spans="1:14" ht="42" customHeight="1" x14ac:dyDescent="0.25">
      <c r="A7" s="110" t="s">
        <v>6</v>
      </c>
      <c r="B7" s="111"/>
      <c r="C7" s="111"/>
      <c r="D7" s="111"/>
      <c r="E7" s="111"/>
      <c r="F7" s="111"/>
      <c r="G7" s="111"/>
      <c r="H7" s="111"/>
      <c r="I7" s="111"/>
      <c r="J7" s="111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/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Datos'!B24</f>
        <v>1456374006</v>
      </c>
      <c r="C9" s="9"/>
      <c r="D9" s="9"/>
      <c r="E9" s="10">
        <f>'Carga de Datos'!H24</f>
        <v>1</v>
      </c>
      <c r="F9" s="21">
        <f>'Carga de Datos'!I24</f>
        <v>2</v>
      </c>
      <c r="G9" s="11" t="str">
        <f>'Carga de Datos'!C24</f>
        <v>WPX</v>
      </c>
      <c r="H9" s="4"/>
      <c r="I9" s="4"/>
      <c r="J9" s="9"/>
    </row>
    <row r="10" spans="1:14" x14ac:dyDescent="0.25">
      <c r="A10" s="103"/>
      <c r="B10" s="107" t="str">
        <f>'Carga de Datos'!F24</f>
        <v>Lucas Leonel Escudero</v>
      </c>
      <c r="C10" s="107"/>
      <c r="D10" s="107"/>
      <c r="E10" s="107"/>
      <c r="F10" s="103"/>
      <c r="G10" s="114"/>
      <c r="H10" s="116"/>
      <c r="I10" s="103"/>
      <c r="J10" s="103"/>
    </row>
    <row r="11" spans="1:14" ht="15.75" thickBot="1" x14ac:dyDescent="0.3">
      <c r="A11" s="104"/>
      <c r="B11" s="113" t="str">
        <f>'Carga de Datos'!G24</f>
        <v>Bolivar 1242 Depto 20 - SL</v>
      </c>
      <c r="C11" s="113"/>
      <c r="D11" s="113"/>
      <c r="E11" s="113"/>
      <c r="F11" s="104"/>
      <c r="G11" s="115"/>
      <c r="H11" s="117"/>
      <c r="I11" s="104"/>
      <c r="J11" s="104"/>
    </row>
    <row r="12" spans="1:14" ht="15.75" customHeight="1" x14ac:dyDescent="0.25">
      <c r="A12" s="8" t="s">
        <v>18</v>
      </c>
      <c r="B12" s="33">
        <f>'Carga de Datos'!B25</f>
        <v>2477068381</v>
      </c>
      <c r="C12" s="9"/>
      <c r="D12" s="9"/>
      <c r="E12" s="10">
        <f>'Carga de Datos'!H25</f>
        <v>1</v>
      </c>
      <c r="F12" s="21">
        <f>'Carga de Datos'!I25</f>
        <v>5</v>
      </c>
      <c r="G12" s="11" t="str">
        <f>'Carga de Datos'!C25</f>
        <v>DOM</v>
      </c>
      <c r="H12" s="4"/>
      <c r="I12" s="4"/>
      <c r="J12" s="9"/>
    </row>
    <row r="13" spans="1:14" ht="15" customHeight="1" x14ac:dyDescent="0.25">
      <c r="A13" s="103"/>
      <c r="B13" s="107" t="str">
        <f>'Carga de Datos'!F25</f>
        <v>Marcela Matas</v>
      </c>
      <c r="C13" s="107"/>
      <c r="D13" s="107"/>
      <c r="E13" s="107"/>
      <c r="F13" s="103"/>
      <c r="G13" s="114"/>
      <c r="H13" s="116"/>
      <c r="I13" s="103"/>
      <c r="J13" s="103"/>
    </row>
    <row r="14" spans="1:14" ht="15.75" customHeight="1" thickBot="1" x14ac:dyDescent="0.3">
      <c r="A14" s="104"/>
      <c r="B14" s="113" t="str">
        <f>'Carga de Datos'!G25</f>
        <v>Mitre 638 - SL</v>
      </c>
      <c r="C14" s="113"/>
      <c r="D14" s="113"/>
      <c r="E14" s="113"/>
      <c r="F14" s="104"/>
      <c r="G14" s="115"/>
      <c r="H14" s="117"/>
      <c r="I14" s="104"/>
      <c r="J14" s="104"/>
    </row>
    <row r="15" spans="1:14" ht="15.75" x14ac:dyDescent="0.25">
      <c r="A15" s="8" t="s">
        <v>19</v>
      </c>
      <c r="B15" s="33">
        <f>'Carga de Datos'!B26</f>
        <v>2477108454</v>
      </c>
      <c r="C15" s="9"/>
      <c r="D15" s="9"/>
      <c r="E15" s="10">
        <f>'Carga de Datos'!H26</f>
        <v>1</v>
      </c>
      <c r="F15" s="21">
        <f>'Carga de Datos'!I26</f>
        <v>2</v>
      </c>
      <c r="G15" s="11" t="str">
        <f>'Carga de Datos'!C26</f>
        <v>DOM</v>
      </c>
      <c r="H15" s="4"/>
      <c r="I15" s="4"/>
      <c r="J15" s="9"/>
    </row>
    <row r="16" spans="1:14" ht="15" customHeight="1" x14ac:dyDescent="0.25">
      <c r="A16" s="103"/>
      <c r="B16" s="107" t="str">
        <f>'Carga de Datos'!F26</f>
        <v>Colgate Palmolive Argentina S.A.</v>
      </c>
      <c r="C16" s="107"/>
      <c r="D16" s="107"/>
      <c r="E16" s="107"/>
      <c r="F16" s="103"/>
      <c r="G16" s="114"/>
      <c r="H16" s="116"/>
      <c r="I16" s="103"/>
      <c r="J16" s="103"/>
    </row>
    <row r="17" spans="1:10" ht="15.75" customHeight="1" thickBot="1" x14ac:dyDescent="0.3">
      <c r="A17" s="104"/>
      <c r="B17" s="113" t="str">
        <f>'Carga de Datos'!G26</f>
        <v>Calle 5 y 105 - SL</v>
      </c>
      <c r="C17" s="113"/>
      <c r="D17" s="113"/>
      <c r="E17" s="113"/>
      <c r="F17" s="104"/>
      <c r="G17" s="115"/>
      <c r="H17" s="117"/>
      <c r="I17" s="104"/>
      <c r="J17" s="104"/>
    </row>
    <row r="18" spans="1:10" ht="15.75" x14ac:dyDescent="0.25">
      <c r="A18" s="8" t="s">
        <v>20</v>
      </c>
      <c r="B18" s="33">
        <f>'Carga de Datos'!B27</f>
        <v>2592516975</v>
      </c>
      <c r="C18" s="9"/>
      <c r="D18" s="9"/>
      <c r="E18" s="10">
        <f>'Carga de Datos'!H27</f>
        <v>1</v>
      </c>
      <c r="F18" s="21">
        <f>'Carga de Datos'!I27</f>
        <v>3</v>
      </c>
      <c r="G18" s="11" t="str">
        <f>'Carga de Datos'!C27</f>
        <v>DOM</v>
      </c>
      <c r="H18" s="4"/>
      <c r="I18" s="4"/>
      <c r="J18" s="9"/>
    </row>
    <row r="19" spans="1:10" ht="15" customHeight="1" x14ac:dyDescent="0.25">
      <c r="A19" s="103"/>
      <c r="B19" s="107" t="str">
        <f>'Carga de Datos'!F27</f>
        <v>Pablo Galera (NCR SRL)</v>
      </c>
      <c r="C19" s="107"/>
      <c r="D19" s="107"/>
      <c r="E19" s="107"/>
      <c r="F19" s="103"/>
      <c r="G19" s="114"/>
      <c r="H19" s="116"/>
      <c r="I19" s="103"/>
      <c r="J19" s="103"/>
    </row>
    <row r="20" spans="1:10" ht="15.75" customHeight="1" thickBot="1" x14ac:dyDescent="0.3">
      <c r="A20" s="104"/>
      <c r="B20" s="113" t="str">
        <f>'Carga de Datos'!G27</f>
        <v>Mitre 638 - SL</v>
      </c>
      <c r="C20" s="113"/>
      <c r="D20" s="113"/>
      <c r="E20" s="113"/>
      <c r="F20" s="104"/>
      <c r="G20" s="115"/>
      <c r="H20" s="117"/>
      <c r="I20" s="104"/>
      <c r="J20" s="104"/>
    </row>
    <row r="21" spans="1:10" ht="15.75" x14ac:dyDescent="0.25">
      <c r="A21" s="8" t="s">
        <v>21</v>
      </c>
      <c r="B21" s="33">
        <f>'Carga de Datos'!B28</f>
        <v>2592520755</v>
      </c>
      <c r="C21" s="9"/>
      <c r="D21" s="9"/>
      <c r="E21" s="10">
        <f>'Carga de Datos'!H28</f>
        <v>7</v>
      </c>
      <c r="F21" s="21">
        <f>'Carga de Datos'!I28</f>
        <v>30</v>
      </c>
      <c r="G21" s="11" t="str">
        <f>'Carga de Datos'!C28</f>
        <v>DOM</v>
      </c>
      <c r="H21" s="4"/>
      <c r="I21" s="4"/>
      <c r="J21" s="9"/>
    </row>
    <row r="22" spans="1:10" ht="15" customHeight="1" x14ac:dyDescent="0.25">
      <c r="A22" s="103"/>
      <c r="B22" s="107" t="str">
        <f>'Carga de Datos'!F28</f>
        <v>Gustavo Escudero (NCR SRL)</v>
      </c>
      <c r="C22" s="107"/>
      <c r="D22" s="107"/>
      <c r="E22" s="107"/>
      <c r="F22" s="103"/>
      <c r="G22" s="114"/>
      <c r="H22" s="116"/>
      <c r="I22" s="103"/>
      <c r="J22" s="103"/>
    </row>
    <row r="23" spans="1:10" ht="15.75" customHeight="1" thickBot="1" x14ac:dyDescent="0.3">
      <c r="A23" s="104"/>
      <c r="B23" s="113" t="str">
        <f>'Carga de Datos'!G28</f>
        <v>Mitre 638 - SL</v>
      </c>
      <c r="C23" s="113"/>
      <c r="D23" s="113"/>
      <c r="E23" s="113"/>
      <c r="F23" s="104"/>
      <c r="G23" s="115"/>
      <c r="H23" s="117"/>
      <c r="I23" s="104"/>
      <c r="J23" s="104"/>
    </row>
    <row r="24" spans="1:10" ht="15.75" x14ac:dyDescent="0.25">
      <c r="A24" s="8" t="s">
        <v>22</v>
      </c>
      <c r="B24" s="33">
        <f>'Carga de Datos'!B29</f>
        <v>2592525725</v>
      </c>
      <c r="C24" s="9"/>
      <c r="D24" s="9"/>
      <c r="E24" s="10">
        <f>'Carga de Datos'!H29</f>
        <v>1</v>
      </c>
      <c r="F24" s="21">
        <f>'Carga de Datos'!I29</f>
        <v>3</v>
      </c>
      <c r="G24" s="11" t="str">
        <f>'Carga de Datos'!C29</f>
        <v>DOM</v>
      </c>
      <c r="H24" s="4"/>
      <c r="I24" s="4"/>
      <c r="J24" s="9"/>
    </row>
    <row r="25" spans="1:10" x14ac:dyDescent="0.25">
      <c r="A25" s="103"/>
      <c r="B25" s="107" t="str">
        <f>'Carga de Datos'!F29</f>
        <v>Juan Galera (NCR SRL)</v>
      </c>
      <c r="C25" s="107"/>
      <c r="D25" s="107"/>
      <c r="E25" s="107"/>
      <c r="F25" s="103"/>
      <c r="G25" s="114"/>
      <c r="H25" s="116"/>
      <c r="I25" s="103"/>
      <c r="J25" s="103"/>
    </row>
    <row r="26" spans="1:10" ht="15.75" thickBot="1" x14ac:dyDescent="0.3">
      <c r="A26" s="104"/>
      <c r="B26" s="113" t="str">
        <f>'Carga de Datos'!G29</f>
        <v>Mitre 638 - SL</v>
      </c>
      <c r="C26" s="113"/>
      <c r="D26" s="113"/>
      <c r="E26" s="113"/>
      <c r="F26" s="104"/>
      <c r="G26" s="115"/>
      <c r="H26" s="117"/>
      <c r="I26" s="104"/>
      <c r="J26" s="104"/>
    </row>
    <row r="27" spans="1:10" ht="15.75" x14ac:dyDescent="0.25">
      <c r="A27" s="8" t="s">
        <v>23</v>
      </c>
      <c r="B27" s="33">
        <f>'Carga de Datos'!B30</f>
        <v>3414442920</v>
      </c>
      <c r="C27" s="9"/>
      <c r="D27" s="9"/>
      <c r="E27" s="10">
        <f>'Carga de Datos'!H30</f>
        <v>1</v>
      </c>
      <c r="F27" s="21">
        <f>'Carga de Datos'!I30</f>
        <v>0.5</v>
      </c>
      <c r="G27" s="11" t="str">
        <f>'Carga de Datos'!C30</f>
        <v>DOX</v>
      </c>
      <c r="H27" s="4"/>
      <c r="I27" s="4"/>
      <c r="J27" s="9"/>
    </row>
    <row r="28" spans="1:10" x14ac:dyDescent="0.25">
      <c r="A28" s="103"/>
      <c r="B28" s="107" t="str">
        <f>'Carga de Datos'!F30</f>
        <v>Diaser S.A.</v>
      </c>
      <c r="C28" s="107"/>
      <c r="D28" s="107"/>
      <c r="E28" s="107"/>
      <c r="F28" s="103"/>
      <c r="G28" s="114"/>
      <c r="H28" s="116"/>
      <c r="I28" s="103"/>
      <c r="J28" s="103"/>
    </row>
    <row r="29" spans="1:10" ht="15.75" thickBot="1" x14ac:dyDescent="0.3">
      <c r="A29" s="104"/>
      <c r="B29" s="113" t="str">
        <f>'Carga de Datos'!G30</f>
        <v>Calle 2 y 104 - SL</v>
      </c>
      <c r="C29" s="113"/>
      <c r="D29" s="113"/>
      <c r="E29" s="113"/>
      <c r="F29" s="104"/>
      <c r="G29" s="115"/>
      <c r="H29" s="117"/>
      <c r="I29" s="104"/>
      <c r="J29" s="104"/>
    </row>
    <row r="30" spans="1:10" ht="15.75" x14ac:dyDescent="0.25">
      <c r="A30" s="12">
        <v>8</v>
      </c>
      <c r="B30" s="33">
        <f>'Carga de Datos'!B31</f>
        <v>3829802826</v>
      </c>
      <c r="C30" s="9"/>
      <c r="D30" s="9"/>
      <c r="E30" s="10">
        <f>'Carga de Datos'!H31</f>
        <v>1</v>
      </c>
      <c r="F30" s="21">
        <f>'Carga de Datos'!I31</f>
        <v>2</v>
      </c>
      <c r="G30" s="11" t="str">
        <f>'Carga de Datos'!C31</f>
        <v>WPX</v>
      </c>
      <c r="H30" s="4"/>
      <c r="I30" s="4"/>
      <c r="J30" s="9"/>
    </row>
    <row r="31" spans="1:10" x14ac:dyDescent="0.25">
      <c r="A31" s="105"/>
      <c r="B31" s="107" t="str">
        <f>'Carga de Datos'!F31</f>
        <v>Rheem S.A.</v>
      </c>
      <c r="C31" s="107"/>
      <c r="D31" s="107"/>
      <c r="E31" s="107"/>
      <c r="F31" s="103"/>
      <c r="G31" s="114"/>
      <c r="H31" s="116"/>
      <c r="I31" s="103"/>
      <c r="J31" s="103"/>
    </row>
    <row r="32" spans="1:10" ht="15.75" thickBot="1" x14ac:dyDescent="0.3">
      <c r="A32" s="106"/>
      <c r="B32" s="113" t="str">
        <f>'Carga de Datos'!G31</f>
        <v>Ex Ruta 7 Km 790 - SL</v>
      </c>
      <c r="C32" s="113"/>
      <c r="D32" s="113"/>
      <c r="E32" s="113"/>
      <c r="F32" s="104"/>
      <c r="G32" s="115"/>
      <c r="H32" s="117"/>
      <c r="I32" s="104"/>
      <c r="J32" s="104"/>
    </row>
    <row r="33" spans="1:14" ht="15.75" x14ac:dyDescent="0.25">
      <c r="A33" s="12">
        <v>9</v>
      </c>
      <c r="B33" s="33">
        <f>'Carga de Datos'!B32</f>
        <v>4451584745</v>
      </c>
      <c r="C33" s="9"/>
      <c r="D33" s="9"/>
      <c r="E33" s="10">
        <f>'Carga de Datos'!H32</f>
        <v>1</v>
      </c>
      <c r="F33" s="21">
        <f>'Carga de Datos'!I32</f>
        <v>50</v>
      </c>
      <c r="G33" s="11" t="str">
        <f>'Carga de Datos'!C32</f>
        <v>WPX</v>
      </c>
      <c r="H33" s="4"/>
      <c r="I33" s="4"/>
      <c r="J33" s="9"/>
    </row>
    <row r="34" spans="1:14" x14ac:dyDescent="0.25">
      <c r="A34" s="105"/>
      <c r="B34" s="107" t="str">
        <f>'Carga de Datos'!F32</f>
        <v>Polimetal S.A.</v>
      </c>
      <c r="C34" s="107"/>
      <c r="D34" s="107"/>
      <c r="E34" s="107"/>
      <c r="F34" s="103"/>
      <c r="G34" s="114"/>
      <c r="H34" s="116"/>
      <c r="I34" s="103"/>
      <c r="J34" s="103"/>
    </row>
    <row r="35" spans="1:14" ht="15.75" thickBot="1" x14ac:dyDescent="0.3">
      <c r="A35" s="106"/>
      <c r="B35" s="113" t="str">
        <f>'Carga de Datos'!G32</f>
        <v>Calle 106 entre 2 y 4 - SL</v>
      </c>
      <c r="C35" s="113"/>
      <c r="D35" s="113"/>
      <c r="E35" s="113"/>
      <c r="F35" s="104"/>
      <c r="G35" s="115"/>
      <c r="H35" s="117"/>
      <c r="I35" s="104"/>
      <c r="J35" s="104"/>
    </row>
    <row r="36" spans="1:14" ht="15.75" x14ac:dyDescent="0.25">
      <c r="A36" s="12">
        <v>10</v>
      </c>
      <c r="B36" s="33">
        <f>'Carga de Datos'!B33</f>
        <v>8643526334</v>
      </c>
      <c r="C36" s="9"/>
      <c r="D36" s="9"/>
      <c r="E36" s="10">
        <f>'Carga de Datos'!H33</f>
        <v>1</v>
      </c>
      <c r="F36" s="21">
        <f>'Carga de Datos'!I33</f>
        <v>1</v>
      </c>
      <c r="G36" s="11" t="str">
        <f>'Carga de Datos'!C33</f>
        <v>DOM</v>
      </c>
      <c r="H36" s="4"/>
      <c r="I36" s="4"/>
      <c r="J36" s="9"/>
    </row>
    <row r="37" spans="1:14" x14ac:dyDescent="0.25">
      <c r="A37" s="105"/>
      <c r="B37" s="107" t="str">
        <f>'Carga de Datos'!F33</f>
        <v>Andrea Laura Perez</v>
      </c>
      <c r="C37" s="107"/>
      <c r="D37" s="107"/>
      <c r="E37" s="107"/>
      <c r="F37" s="103"/>
      <c r="G37" s="114"/>
      <c r="H37" s="116"/>
      <c r="I37" s="103"/>
      <c r="J37" s="103"/>
    </row>
    <row r="38" spans="1:14" ht="15.75" thickBot="1" x14ac:dyDescent="0.3">
      <c r="A38" s="106"/>
      <c r="B38" s="113" t="str">
        <f>'Carga de Datos'!G33</f>
        <v>Los Zorzales 670 - JUANA KOSLAY</v>
      </c>
      <c r="C38" s="113"/>
      <c r="D38" s="113"/>
      <c r="E38" s="113"/>
      <c r="F38" s="104"/>
      <c r="G38" s="115"/>
      <c r="H38" s="117"/>
      <c r="I38" s="104"/>
      <c r="J38" s="104"/>
    </row>
    <row r="39" spans="1:14" ht="15.75" x14ac:dyDescent="0.25">
      <c r="A39" s="12">
        <v>11</v>
      </c>
      <c r="B39" s="33">
        <f>'Carga de Datos'!B34</f>
        <v>0</v>
      </c>
      <c r="C39" s="9"/>
      <c r="D39" s="9"/>
      <c r="E39" s="10">
        <f>'Carga de Datos'!H34</f>
        <v>0</v>
      </c>
      <c r="F39" s="21">
        <f>'Carga de Datos'!I34</f>
        <v>0</v>
      </c>
      <c r="G39" s="11">
        <f>'Carga de Datos'!C34</f>
        <v>0</v>
      </c>
      <c r="H39" s="4"/>
      <c r="I39" s="4"/>
      <c r="J39" s="9"/>
    </row>
    <row r="40" spans="1:14" x14ac:dyDescent="0.25">
      <c r="A40" s="118"/>
      <c r="B40" s="107">
        <f>'Carga de Datos'!F34</f>
        <v>0</v>
      </c>
      <c r="C40" s="107"/>
      <c r="D40" s="107"/>
      <c r="E40" s="107"/>
      <c r="F40" s="103"/>
      <c r="G40" s="114"/>
      <c r="H40" s="116"/>
      <c r="I40" s="103"/>
      <c r="J40" s="103"/>
    </row>
    <row r="41" spans="1:14" ht="15.75" thickBot="1" x14ac:dyDescent="0.3">
      <c r="A41" s="119"/>
      <c r="B41" s="113">
        <f>'Carga de Datos'!G34</f>
        <v>0</v>
      </c>
      <c r="C41" s="113"/>
      <c r="D41" s="113"/>
      <c r="E41" s="113"/>
      <c r="F41" s="104"/>
      <c r="G41" s="115"/>
      <c r="H41" s="117"/>
      <c r="I41" s="104"/>
      <c r="J41" s="104"/>
    </row>
    <row r="42" spans="1:14" ht="15.75" customHeight="1" x14ac:dyDescent="0.25">
      <c r="A42" s="12">
        <v>12</v>
      </c>
      <c r="B42" s="33">
        <f>'Carga de Datos'!B35</f>
        <v>0</v>
      </c>
      <c r="C42" s="9"/>
      <c r="D42" s="9"/>
      <c r="E42" s="10">
        <f>'Carga de Datos'!H35</f>
        <v>0</v>
      </c>
      <c r="F42" s="21">
        <f>'Carga de Datos'!I35</f>
        <v>0</v>
      </c>
      <c r="G42" s="11">
        <f>'Carga de Datos'!C35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18"/>
      <c r="B43" s="107">
        <f>'Carga de Datos'!F35</f>
        <v>0</v>
      </c>
      <c r="C43" s="107"/>
      <c r="D43" s="107"/>
      <c r="E43" s="107"/>
      <c r="F43" s="103"/>
      <c r="G43" s="114"/>
      <c r="H43" s="116"/>
      <c r="I43" s="103"/>
      <c r="J43" s="103"/>
    </row>
    <row r="44" spans="1:14" ht="16.5" thickBot="1" x14ac:dyDescent="0.3">
      <c r="A44" s="119"/>
      <c r="B44" s="113">
        <f>'Carga de Datos'!G35</f>
        <v>0</v>
      </c>
      <c r="C44" s="113"/>
      <c r="D44" s="113"/>
      <c r="E44" s="113"/>
      <c r="F44" s="104"/>
      <c r="G44" s="115"/>
      <c r="H44" s="117"/>
      <c r="I44" s="104"/>
      <c r="J44" s="104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Datos'!B36</f>
        <v>0</v>
      </c>
      <c r="C45" s="9"/>
      <c r="D45" s="9"/>
      <c r="E45" s="10">
        <f>'Carga de Datos'!H36</f>
        <v>0</v>
      </c>
      <c r="F45" s="21">
        <f>'Carga de Datos'!I36</f>
        <v>0</v>
      </c>
      <c r="G45" s="11">
        <f>'Carga de Datos'!C36</f>
        <v>0</v>
      </c>
      <c r="H45" s="4"/>
      <c r="I45" s="4"/>
      <c r="J45" s="9"/>
    </row>
    <row r="46" spans="1:14" ht="15.75" x14ac:dyDescent="0.25">
      <c r="A46" s="118"/>
      <c r="B46" s="107">
        <f>'Carga de Datos'!F36</f>
        <v>0</v>
      </c>
      <c r="C46" s="107"/>
      <c r="D46" s="107"/>
      <c r="E46" s="107"/>
      <c r="F46" s="103"/>
      <c r="G46" s="114"/>
      <c r="H46" s="116"/>
      <c r="I46" s="103"/>
      <c r="J46" s="103"/>
      <c r="K46" s="4"/>
      <c r="L46" s="4"/>
      <c r="M46" s="4"/>
      <c r="N46" s="4"/>
    </row>
    <row r="47" spans="1:14" ht="15.75" thickBot="1" x14ac:dyDescent="0.3">
      <c r="A47" s="119"/>
      <c r="B47" s="113">
        <f>'Carga de Datos'!G36</f>
        <v>0</v>
      </c>
      <c r="C47" s="113"/>
      <c r="D47" s="113"/>
      <c r="E47" s="113"/>
      <c r="F47" s="104"/>
      <c r="G47" s="115"/>
      <c r="H47" s="117"/>
      <c r="I47" s="104"/>
      <c r="J47" s="104"/>
    </row>
    <row r="48" spans="1:14" ht="15.75" x14ac:dyDescent="0.25">
      <c r="A48" s="12">
        <v>14</v>
      </c>
      <c r="B48" s="33">
        <f>'Carga de Datos'!B37</f>
        <v>0</v>
      </c>
      <c r="C48" s="9"/>
      <c r="D48" s="9"/>
      <c r="E48" s="10">
        <f>'Carga de Datos'!H37</f>
        <v>0</v>
      </c>
      <c r="F48" s="21">
        <f>'Carga de Datos'!I37</f>
        <v>0</v>
      </c>
      <c r="G48" s="11">
        <f>'Carga de Datos'!C37</f>
        <v>0</v>
      </c>
      <c r="H48" s="4"/>
      <c r="I48" s="4"/>
      <c r="J48" s="9"/>
    </row>
    <row r="49" spans="1:10" x14ac:dyDescent="0.25">
      <c r="A49" s="118"/>
      <c r="B49" s="107">
        <f>'Carga de Datos'!F37</f>
        <v>0</v>
      </c>
      <c r="C49" s="107"/>
      <c r="D49" s="107"/>
      <c r="E49" s="107"/>
      <c r="F49" s="103"/>
      <c r="G49" s="114"/>
      <c r="H49" s="116"/>
      <c r="I49" s="103"/>
      <c r="J49" s="103"/>
    </row>
    <row r="50" spans="1:10" ht="15.75" thickBot="1" x14ac:dyDescent="0.3">
      <c r="A50" s="119"/>
      <c r="B50" s="113">
        <f>'Carga de Datos'!G37</f>
        <v>0</v>
      </c>
      <c r="C50" s="113"/>
      <c r="D50" s="113"/>
      <c r="E50" s="113"/>
      <c r="F50" s="104"/>
      <c r="G50" s="115"/>
      <c r="H50" s="117"/>
      <c r="I50" s="104"/>
      <c r="J50" s="104"/>
    </row>
    <row r="51" spans="1:10" ht="15.75" x14ac:dyDescent="0.25">
      <c r="A51" s="12">
        <v>15</v>
      </c>
      <c r="B51" s="33">
        <f>'Carga de Datos'!B38</f>
        <v>0</v>
      </c>
      <c r="C51" s="9"/>
      <c r="D51" s="9"/>
      <c r="E51" s="10">
        <f>'Carga de Datos'!H38</f>
        <v>0</v>
      </c>
      <c r="F51" s="21">
        <f>'Carga de Datos'!I38</f>
        <v>0</v>
      </c>
      <c r="G51" s="11">
        <f>'Carga de Datos'!C38</f>
        <v>0</v>
      </c>
      <c r="H51" s="4"/>
      <c r="I51" s="4"/>
      <c r="J51" s="9"/>
    </row>
    <row r="52" spans="1:10" x14ac:dyDescent="0.25">
      <c r="A52" s="118"/>
      <c r="B52" s="107">
        <f>'Carga de Datos'!F38</f>
        <v>0</v>
      </c>
      <c r="C52" s="107"/>
      <c r="D52" s="107"/>
      <c r="E52" s="107"/>
      <c r="F52" s="103"/>
      <c r="G52" s="114"/>
      <c r="H52" s="116"/>
      <c r="I52" s="103"/>
      <c r="J52" s="103"/>
    </row>
    <row r="53" spans="1:10" ht="15.75" thickBot="1" x14ac:dyDescent="0.3">
      <c r="A53" s="119"/>
      <c r="B53" s="113">
        <f>'Carga de Datos'!G38</f>
        <v>0</v>
      </c>
      <c r="C53" s="113"/>
      <c r="D53" s="113"/>
      <c r="E53" s="113"/>
      <c r="F53" s="104"/>
      <c r="G53" s="115"/>
      <c r="H53" s="117"/>
      <c r="I53" s="104"/>
      <c r="J53" s="104"/>
    </row>
    <row r="54" spans="1:10" ht="15.75" x14ac:dyDescent="0.25">
      <c r="A54" s="12">
        <v>16</v>
      </c>
      <c r="B54" s="33">
        <f>'Carga de Datos'!B39</f>
        <v>0</v>
      </c>
      <c r="C54" s="9"/>
      <c r="D54" s="9"/>
      <c r="E54" s="10">
        <f>'Carga de Datos'!H39</f>
        <v>0</v>
      </c>
      <c r="F54" s="21">
        <f>'Carga de Datos'!I39</f>
        <v>0</v>
      </c>
      <c r="G54" s="11">
        <f>'Carga de Datos'!C39</f>
        <v>0</v>
      </c>
      <c r="H54" s="4"/>
      <c r="I54" s="4"/>
      <c r="J54" s="9"/>
    </row>
    <row r="55" spans="1:10" x14ac:dyDescent="0.25">
      <c r="A55" s="118"/>
      <c r="B55" s="107">
        <f>'Carga de Datos'!F39</f>
        <v>0</v>
      </c>
      <c r="C55" s="107"/>
      <c r="D55" s="107"/>
      <c r="E55" s="107"/>
      <c r="F55" s="103"/>
      <c r="G55" s="114"/>
      <c r="H55" s="116"/>
      <c r="I55" s="103"/>
      <c r="J55" s="103"/>
    </row>
    <row r="56" spans="1:10" ht="15.75" thickBot="1" x14ac:dyDescent="0.3">
      <c r="A56" s="119"/>
      <c r="B56" s="113">
        <f>'Carga de Datos'!G39</f>
        <v>0</v>
      </c>
      <c r="C56" s="113"/>
      <c r="D56" s="113"/>
      <c r="E56" s="113"/>
      <c r="F56" s="104"/>
      <c r="G56" s="115"/>
      <c r="H56" s="117"/>
      <c r="I56" s="104"/>
      <c r="J56" s="104"/>
    </row>
  </sheetData>
  <mergeCells count="118">
    <mergeCell ref="J55:J56"/>
    <mergeCell ref="B56:E56"/>
    <mergeCell ref="A55:A56"/>
    <mergeCell ref="B55:E55"/>
    <mergeCell ref="F55:G56"/>
    <mergeCell ref="H55:H56"/>
    <mergeCell ref="I55:I56"/>
    <mergeCell ref="J49:J50"/>
    <mergeCell ref="B50:E50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  <mergeCell ref="J43:J44"/>
    <mergeCell ref="B44:E44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A6:J6"/>
    <mergeCell ref="J10:J11"/>
    <mergeCell ref="A13:A14"/>
    <mergeCell ref="B13:E13"/>
    <mergeCell ref="B14:E14"/>
    <mergeCell ref="F13:G14"/>
    <mergeCell ref="H13:H14"/>
    <mergeCell ref="I13:I14"/>
    <mergeCell ref="J13:J14"/>
    <mergeCell ref="A10:A11"/>
    <mergeCell ref="B10:E10"/>
    <mergeCell ref="B11:E11"/>
    <mergeCell ref="F10:G11"/>
    <mergeCell ref="H10:H11"/>
    <mergeCell ref="I10:I11"/>
    <mergeCell ref="J16:J17"/>
    <mergeCell ref="A19:A20"/>
    <mergeCell ref="B19:E19"/>
    <mergeCell ref="B20:E20"/>
    <mergeCell ref="F19:G20"/>
    <mergeCell ref="H19:H20"/>
    <mergeCell ref="I19:I20"/>
    <mergeCell ref="J19:J20"/>
    <mergeCell ref="A16:A17"/>
    <mergeCell ref="B16:E16"/>
    <mergeCell ref="B17:E17"/>
    <mergeCell ref="F16:G17"/>
    <mergeCell ref="H16:H17"/>
    <mergeCell ref="I16:I17"/>
    <mergeCell ref="A22:A23"/>
    <mergeCell ref="B22:E22"/>
    <mergeCell ref="B23:E23"/>
    <mergeCell ref="F22:G23"/>
    <mergeCell ref="H22:H23"/>
    <mergeCell ref="A25:A26"/>
    <mergeCell ref="B25:E25"/>
    <mergeCell ref="B26:E26"/>
    <mergeCell ref="F25:G26"/>
    <mergeCell ref="H25:H26"/>
    <mergeCell ref="A40:A41"/>
    <mergeCell ref="B40:E40"/>
    <mergeCell ref="B41:E41"/>
    <mergeCell ref="F40:G41"/>
    <mergeCell ref="H40:H41"/>
    <mergeCell ref="I40:I41"/>
    <mergeCell ref="J34:J35"/>
    <mergeCell ref="A37:A38"/>
    <mergeCell ref="B37:E37"/>
    <mergeCell ref="B38:E38"/>
    <mergeCell ref="F37:G38"/>
    <mergeCell ref="H37:H38"/>
    <mergeCell ref="I37:I38"/>
    <mergeCell ref="J37:J38"/>
    <mergeCell ref="A34:A35"/>
    <mergeCell ref="J40:J41"/>
    <mergeCell ref="B34:E34"/>
    <mergeCell ref="B35:E35"/>
    <mergeCell ref="F34:G35"/>
    <mergeCell ref="H34:H35"/>
    <mergeCell ref="A2:E2"/>
    <mergeCell ref="F2:J2"/>
    <mergeCell ref="I34:I35"/>
    <mergeCell ref="J28:J29"/>
    <mergeCell ref="A31:A32"/>
    <mergeCell ref="J31:J32"/>
    <mergeCell ref="A28:A29"/>
    <mergeCell ref="B28:E28"/>
    <mergeCell ref="A1:J1"/>
    <mergeCell ref="A7:J7"/>
    <mergeCell ref="A3:J3"/>
    <mergeCell ref="B32:E32"/>
    <mergeCell ref="F31:G32"/>
    <mergeCell ref="H31:H32"/>
    <mergeCell ref="I31:I32"/>
    <mergeCell ref="J22:J23"/>
    <mergeCell ref="I25:I26"/>
    <mergeCell ref="J25:J26"/>
    <mergeCell ref="I22:I23"/>
    <mergeCell ref="B29:E29"/>
    <mergeCell ref="F28:G29"/>
    <mergeCell ref="H28:H29"/>
    <mergeCell ref="I28:I29"/>
    <mergeCell ref="B31:E31"/>
  </mergeCells>
  <pageMargins left="0.7" right="0.7" top="0.75" bottom="0.75" header="0.3" footer="0.3"/>
  <pageSetup paperSize="9" scale="7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56"/>
  <sheetViews>
    <sheetView workbookViewId="0">
      <selection activeCell="A6" sqref="A6:J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ht="15" customHeight="1" x14ac:dyDescent="0.25">
      <c r="A1" s="108" t="s">
        <v>43</v>
      </c>
      <c r="B1" s="109"/>
      <c r="C1" s="109"/>
      <c r="D1" s="109"/>
      <c r="E1" s="109"/>
      <c r="F1" s="109"/>
      <c r="G1" s="109"/>
      <c r="H1" s="109"/>
      <c r="I1" s="109"/>
      <c r="J1" s="109"/>
      <c r="K1" s="1"/>
      <c r="L1" s="1"/>
      <c r="M1" s="1"/>
      <c r="N1" s="1"/>
    </row>
    <row r="2" spans="1:14" ht="45.75" customHeight="1" x14ac:dyDescent="0.25">
      <c r="A2" s="101">
        <f>'Carga de Datos'!G1</f>
        <v>44832</v>
      </c>
      <c r="B2" s="101"/>
      <c r="C2" s="101"/>
      <c r="D2" s="101"/>
      <c r="E2" s="101"/>
      <c r="F2" s="102" t="s">
        <v>73</v>
      </c>
      <c r="G2" s="102"/>
      <c r="H2" s="102"/>
      <c r="I2" s="102"/>
      <c r="J2" s="102"/>
      <c r="K2" s="2"/>
      <c r="L2" s="2"/>
      <c r="M2" s="2"/>
      <c r="N2" s="2"/>
    </row>
    <row r="3" spans="1:14" ht="15" customHeight="1" x14ac:dyDescent="0.25">
      <c r="A3" s="112"/>
      <c r="B3" s="111"/>
      <c r="C3" s="111"/>
      <c r="D3" s="111"/>
      <c r="E3" s="111"/>
      <c r="F3" s="111"/>
      <c r="G3" s="111"/>
      <c r="H3" s="111"/>
      <c r="I3" s="111"/>
      <c r="J3" s="111"/>
      <c r="K3" s="3"/>
      <c r="L3" s="3"/>
      <c r="M3" s="3"/>
      <c r="N3" s="3"/>
    </row>
    <row r="4" spans="1:14" ht="15.75" customHeight="1" x14ac:dyDescent="0.25">
      <c r="A4" s="26" t="s">
        <v>41</v>
      </c>
      <c r="B4" s="30" t="s">
        <v>39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18</v>
      </c>
      <c r="G4" s="26" t="s">
        <v>31</v>
      </c>
      <c r="H4" s="30">
        <f>'Carga de Datos'!E2</f>
        <v>100.5</v>
      </c>
      <c r="I4" s="26" t="s">
        <v>36</v>
      </c>
      <c r="J4" s="29" t="str">
        <f>'Carga de Datos'!B4</f>
        <v>H472469410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44832</v>
      </c>
      <c r="C5" s="28" t="s">
        <v>1</v>
      </c>
      <c r="D5" s="31">
        <f>'Carga de Datos'!G2</f>
        <v>0.375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3"/>
      <c r="B6" s="120"/>
      <c r="C6" s="120"/>
      <c r="D6" s="120"/>
      <c r="E6" s="120"/>
      <c r="F6" s="120"/>
      <c r="G6" s="120"/>
      <c r="H6" s="120"/>
      <c r="I6" s="120"/>
      <c r="J6" s="120"/>
      <c r="K6" s="4"/>
      <c r="L6" s="4"/>
      <c r="M6" s="4"/>
      <c r="N6" s="4"/>
    </row>
    <row r="7" spans="1:14" ht="42" customHeight="1" x14ac:dyDescent="0.25">
      <c r="A7" s="110" t="s">
        <v>6</v>
      </c>
      <c r="B7" s="111"/>
      <c r="C7" s="111"/>
      <c r="D7" s="111"/>
      <c r="E7" s="111"/>
      <c r="F7" s="111"/>
      <c r="G7" s="111"/>
      <c r="H7" s="111"/>
      <c r="I7" s="111"/>
      <c r="J7" s="111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 t="s">
        <v>13</v>
      </c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Datos'!B6</f>
        <v>6488846162</v>
      </c>
      <c r="C9" s="9"/>
      <c r="D9" s="9"/>
      <c r="E9" s="10">
        <f>'Carga de Datos'!H6</f>
        <v>1</v>
      </c>
      <c r="F9" s="21">
        <f>'Carga de Datos'!I6</f>
        <v>1</v>
      </c>
      <c r="G9" s="32" t="str">
        <f>'Carga de Datos'!C6</f>
        <v>PAS</v>
      </c>
      <c r="H9" s="4"/>
      <c r="I9" s="4"/>
      <c r="J9" s="9"/>
    </row>
    <row r="10" spans="1:14" x14ac:dyDescent="0.25">
      <c r="A10" s="103"/>
      <c r="B10" s="107" t="str">
        <f>'Carga de Datos'!F6</f>
        <v>Giuliano Meineri</v>
      </c>
      <c r="C10" s="107"/>
      <c r="D10" s="107"/>
      <c r="E10" s="107"/>
      <c r="F10" s="103"/>
      <c r="G10" s="114"/>
      <c r="H10" s="116"/>
      <c r="I10" s="103"/>
      <c r="J10" s="103"/>
    </row>
    <row r="11" spans="1:14" ht="15.75" thickBot="1" x14ac:dyDescent="0.3">
      <c r="A11" s="104"/>
      <c r="B11" s="113" t="str">
        <f>'Carga de Datos'!G6</f>
        <v>Balbina Maria Paz Pernas - COUNTER SL</v>
      </c>
      <c r="C11" s="113"/>
      <c r="D11" s="113"/>
      <c r="E11" s="113"/>
      <c r="F11" s="104"/>
      <c r="G11" s="115"/>
      <c r="H11" s="117"/>
      <c r="I11" s="104"/>
      <c r="J11" s="104"/>
    </row>
    <row r="12" spans="1:14" ht="15.75" x14ac:dyDescent="0.25">
      <c r="A12" s="8" t="s">
        <v>18</v>
      </c>
      <c r="B12" s="33">
        <f>'Carga de Datos'!B7</f>
        <v>6488897450</v>
      </c>
      <c r="C12" s="9"/>
      <c r="D12" s="9"/>
      <c r="E12" s="10">
        <f>'Carga de Datos'!H7</f>
        <v>1</v>
      </c>
      <c r="F12" s="21">
        <f>'Carga de Datos'!I7</f>
        <v>1</v>
      </c>
      <c r="G12" s="32" t="str">
        <f>'Carga de Datos'!C7</f>
        <v>PAS</v>
      </c>
      <c r="H12" s="4"/>
      <c r="I12" s="4"/>
      <c r="J12" s="9"/>
    </row>
    <row r="13" spans="1:14" ht="15" customHeight="1" x14ac:dyDescent="0.25">
      <c r="A13" s="103"/>
      <c r="B13" s="107" t="str">
        <f>'Carga de Datos'!F7</f>
        <v>Alida Susana Sosa</v>
      </c>
      <c r="C13" s="107"/>
      <c r="D13" s="107"/>
      <c r="E13" s="107"/>
      <c r="F13" s="103"/>
      <c r="G13" s="114"/>
      <c r="H13" s="116"/>
      <c r="I13" s="103"/>
      <c r="J13" s="103"/>
    </row>
    <row r="14" spans="1:14" ht="15.75" customHeight="1" thickBot="1" x14ac:dyDescent="0.3">
      <c r="A14" s="104"/>
      <c r="B14" s="113" t="str">
        <f>'Carga de Datos'!G7</f>
        <v>Miguel Angel Diaz Gutierrez - COUNTER SL</v>
      </c>
      <c r="C14" s="113"/>
      <c r="D14" s="113"/>
      <c r="E14" s="113"/>
      <c r="F14" s="104"/>
      <c r="G14" s="115"/>
      <c r="H14" s="117"/>
      <c r="I14" s="104"/>
      <c r="J14" s="104"/>
    </row>
    <row r="15" spans="1:14" ht="15.75" x14ac:dyDescent="0.25">
      <c r="A15" s="8" t="s">
        <v>19</v>
      </c>
      <c r="B15" s="33">
        <f>'Carga de Datos'!B8</f>
        <v>0</v>
      </c>
      <c r="C15" s="9"/>
      <c r="D15" s="9"/>
      <c r="E15" s="10">
        <f>'Carga de Datos'!H8</f>
        <v>0</v>
      </c>
      <c r="F15" s="21">
        <f>'Carga de Datos'!I8</f>
        <v>0</v>
      </c>
      <c r="G15" s="32">
        <f>'Carga de Datos'!C8</f>
        <v>0</v>
      </c>
      <c r="H15" s="4"/>
      <c r="I15" s="4"/>
      <c r="J15" s="9"/>
    </row>
    <row r="16" spans="1:14" ht="15" customHeight="1" x14ac:dyDescent="0.25">
      <c r="A16" s="103"/>
      <c r="B16" s="107">
        <f>'Carga de Datos'!F8</f>
        <v>0</v>
      </c>
      <c r="C16" s="107"/>
      <c r="D16" s="107"/>
      <c r="E16" s="107"/>
      <c r="F16" s="103"/>
      <c r="G16" s="114"/>
      <c r="H16" s="116"/>
      <c r="I16" s="103"/>
      <c r="J16" s="103"/>
    </row>
    <row r="17" spans="1:10" ht="15.75" customHeight="1" thickBot="1" x14ac:dyDescent="0.3">
      <c r="A17" s="104"/>
      <c r="B17" s="113">
        <f>'Carga de Datos'!G8</f>
        <v>0</v>
      </c>
      <c r="C17" s="113"/>
      <c r="D17" s="113"/>
      <c r="E17" s="113"/>
      <c r="F17" s="104"/>
      <c r="G17" s="115"/>
      <c r="H17" s="117"/>
      <c r="I17" s="104"/>
      <c r="J17" s="104"/>
    </row>
    <row r="18" spans="1:10" ht="15.75" x14ac:dyDescent="0.25">
      <c r="A18" s="8" t="s">
        <v>20</v>
      </c>
      <c r="B18" s="33">
        <f>'Carga de Datos'!B9</f>
        <v>0</v>
      </c>
      <c r="C18" s="9"/>
      <c r="D18" s="9"/>
      <c r="E18" s="10">
        <f>'Carga de Datos'!H9</f>
        <v>0</v>
      </c>
      <c r="F18" s="21">
        <f>'Carga de Datos'!I9</f>
        <v>0</v>
      </c>
      <c r="G18" s="32">
        <f>'Carga de Datos'!C9</f>
        <v>0</v>
      </c>
      <c r="H18" s="4"/>
      <c r="I18" s="4"/>
      <c r="J18" s="9"/>
    </row>
    <row r="19" spans="1:10" ht="15" customHeight="1" x14ac:dyDescent="0.25">
      <c r="A19" s="103"/>
      <c r="B19" s="107">
        <f>'Carga de Datos'!F9</f>
        <v>0</v>
      </c>
      <c r="C19" s="107"/>
      <c r="D19" s="107"/>
      <c r="E19" s="107"/>
      <c r="F19" s="103"/>
      <c r="G19" s="114"/>
      <c r="H19" s="116"/>
      <c r="I19" s="103"/>
      <c r="J19" s="103"/>
    </row>
    <row r="20" spans="1:10" ht="15.75" customHeight="1" thickBot="1" x14ac:dyDescent="0.3">
      <c r="A20" s="104"/>
      <c r="B20" s="113">
        <f>'Carga de Datos'!G9</f>
        <v>0</v>
      </c>
      <c r="C20" s="113"/>
      <c r="D20" s="113"/>
      <c r="E20" s="113"/>
      <c r="F20" s="104"/>
      <c r="G20" s="115"/>
      <c r="H20" s="117"/>
      <c r="I20" s="104"/>
      <c r="J20" s="104"/>
    </row>
    <row r="21" spans="1:10" ht="15.75" x14ac:dyDescent="0.25">
      <c r="A21" s="8" t="s">
        <v>21</v>
      </c>
      <c r="B21" s="33">
        <f>'Carga de Datos'!B10</f>
        <v>0</v>
      </c>
      <c r="C21" s="9"/>
      <c r="D21" s="9"/>
      <c r="E21" s="10">
        <f>'Carga de Datos'!H10</f>
        <v>0</v>
      </c>
      <c r="F21" s="21">
        <f>'Carga de Datos'!I10</f>
        <v>0</v>
      </c>
      <c r="G21" s="32">
        <f>'Carga de Datos'!C10</f>
        <v>0</v>
      </c>
      <c r="H21" s="4"/>
      <c r="I21" s="4"/>
      <c r="J21" s="9"/>
    </row>
    <row r="22" spans="1:10" ht="15" customHeight="1" x14ac:dyDescent="0.25">
      <c r="A22" s="103"/>
      <c r="B22" s="107">
        <f>'Carga de Datos'!F10</f>
        <v>0</v>
      </c>
      <c r="C22" s="107"/>
      <c r="D22" s="107"/>
      <c r="E22" s="107"/>
      <c r="F22" s="103"/>
      <c r="G22" s="114"/>
      <c r="H22" s="116"/>
      <c r="I22" s="103"/>
      <c r="J22" s="103"/>
    </row>
    <row r="23" spans="1:10" ht="15.75" customHeight="1" thickBot="1" x14ac:dyDescent="0.3">
      <c r="A23" s="104"/>
      <c r="B23" s="113">
        <f>'Carga de Datos'!G10</f>
        <v>0</v>
      </c>
      <c r="C23" s="113"/>
      <c r="D23" s="113"/>
      <c r="E23" s="113"/>
      <c r="F23" s="104"/>
      <c r="G23" s="115"/>
      <c r="H23" s="117"/>
      <c r="I23" s="104"/>
      <c r="J23" s="104"/>
    </row>
    <row r="24" spans="1:10" ht="15.75" x14ac:dyDescent="0.25">
      <c r="A24" s="8" t="s">
        <v>22</v>
      </c>
      <c r="B24" s="33">
        <f>'Carga de Datos'!B11</f>
        <v>0</v>
      </c>
      <c r="C24" s="9"/>
      <c r="D24" s="9"/>
      <c r="E24" s="10">
        <f>'Carga de Datos'!H11</f>
        <v>0</v>
      </c>
      <c r="F24" s="21">
        <f>'Carga de Datos'!I11</f>
        <v>0</v>
      </c>
      <c r="G24" s="32">
        <f>'Carga de Datos'!C11</f>
        <v>0</v>
      </c>
      <c r="H24" s="4"/>
      <c r="I24" s="4"/>
      <c r="J24" s="9"/>
    </row>
    <row r="25" spans="1:10" x14ac:dyDescent="0.25">
      <c r="A25" s="103"/>
      <c r="B25" s="107">
        <f>'Carga de Datos'!F11</f>
        <v>0</v>
      </c>
      <c r="C25" s="107"/>
      <c r="D25" s="107"/>
      <c r="E25" s="107"/>
      <c r="F25" s="103"/>
      <c r="G25" s="114"/>
      <c r="H25" s="116"/>
      <c r="I25" s="103"/>
      <c r="J25" s="103"/>
    </row>
    <row r="26" spans="1:10" ht="15.75" thickBot="1" x14ac:dyDescent="0.3">
      <c r="A26" s="104"/>
      <c r="B26" s="113">
        <f>'Carga de Datos'!G11</f>
        <v>0</v>
      </c>
      <c r="C26" s="113"/>
      <c r="D26" s="113"/>
      <c r="E26" s="113"/>
      <c r="F26" s="104"/>
      <c r="G26" s="115"/>
      <c r="H26" s="117"/>
      <c r="I26" s="104"/>
      <c r="J26" s="104"/>
    </row>
    <row r="27" spans="1:10" ht="15.75" x14ac:dyDescent="0.25">
      <c r="A27" s="8" t="s">
        <v>23</v>
      </c>
      <c r="B27" s="33">
        <f>'Carga de Datos'!B12</f>
        <v>0</v>
      </c>
      <c r="C27" s="9"/>
      <c r="D27" s="9"/>
      <c r="E27" s="10">
        <f>'Carga de Datos'!H12</f>
        <v>0</v>
      </c>
      <c r="F27" s="21">
        <f>'Carga de Datos'!I12</f>
        <v>0</v>
      </c>
      <c r="G27" s="32">
        <f>'Carga de Datos'!C12</f>
        <v>0</v>
      </c>
      <c r="H27" s="4"/>
      <c r="I27" s="4"/>
      <c r="J27" s="9"/>
    </row>
    <row r="28" spans="1:10" x14ac:dyDescent="0.25">
      <c r="A28" s="103"/>
      <c r="B28" s="107">
        <f>'Carga de Datos'!F12</f>
        <v>0</v>
      </c>
      <c r="C28" s="107"/>
      <c r="D28" s="107"/>
      <c r="E28" s="107"/>
      <c r="F28" s="103"/>
      <c r="G28" s="114"/>
      <c r="H28" s="116"/>
      <c r="I28" s="103"/>
      <c r="J28" s="103"/>
    </row>
    <row r="29" spans="1:10" ht="15.75" thickBot="1" x14ac:dyDescent="0.3">
      <c r="A29" s="104"/>
      <c r="B29" s="113">
        <f>'Carga de Datos'!G12</f>
        <v>0</v>
      </c>
      <c r="C29" s="113"/>
      <c r="D29" s="113"/>
      <c r="E29" s="113"/>
      <c r="F29" s="104"/>
      <c r="G29" s="115"/>
      <c r="H29" s="117"/>
      <c r="I29" s="104"/>
      <c r="J29" s="104"/>
    </row>
    <row r="30" spans="1:10" ht="15.75" x14ac:dyDescent="0.25">
      <c r="A30" s="12">
        <v>8</v>
      </c>
      <c r="B30" s="33">
        <f>'Carga de Datos'!B13</f>
        <v>0</v>
      </c>
      <c r="C30" s="9"/>
      <c r="D30" s="9"/>
      <c r="E30" s="10">
        <f>'Carga de Datos'!H13</f>
        <v>0</v>
      </c>
      <c r="F30" s="21">
        <f>'Carga de Datos'!I13</f>
        <v>0</v>
      </c>
      <c r="G30" s="32">
        <f>'Carga de Datos'!C13</f>
        <v>0</v>
      </c>
      <c r="H30" s="4"/>
      <c r="I30" s="4"/>
      <c r="J30" s="9"/>
    </row>
    <row r="31" spans="1:10" x14ac:dyDescent="0.25">
      <c r="A31" s="105"/>
      <c r="B31" s="107">
        <f>'Carga de Datos'!F13</f>
        <v>0</v>
      </c>
      <c r="C31" s="107"/>
      <c r="D31" s="107"/>
      <c r="E31" s="107"/>
      <c r="F31" s="103"/>
      <c r="G31" s="114"/>
      <c r="H31" s="116"/>
      <c r="I31" s="103"/>
      <c r="J31" s="103"/>
    </row>
    <row r="32" spans="1:10" ht="15.75" thickBot="1" x14ac:dyDescent="0.3">
      <c r="A32" s="106"/>
      <c r="B32" s="113">
        <f>'Carga de Datos'!G13</f>
        <v>0</v>
      </c>
      <c r="C32" s="113"/>
      <c r="D32" s="113"/>
      <c r="E32" s="113"/>
      <c r="F32" s="104"/>
      <c r="G32" s="115"/>
      <c r="H32" s="117"/>
      <c r="I32" s="104"/>
      <c r="J32" s="104"/>
    </row>
    <row r="33" spans="1:14" ht="15.75" x14ac:dyDescent="0.25">
      <c r="A33" s="12">
        <v>9</v>
      </c>
      <c r="B33" s="33">
        <f>'Carga de Datos'!B14</f>
        <v>0</v>
      </c>
      <c r="C33" s="9"/>
      <c r="D33" s="9"/>
      <c r="E33" s="10">
        <f>'Carga de Datos'!H14</f>
        <v>0</v>
      </c>
      <c r="F33" s="21">
        <f>'Carga de Datos'!I14</f>
        <v>0</v>
      </c>
      <c r="G33" s="32">
        <f>'Carga de Datos'!C14</f>
        <v>0</v>
      </c>
      <c r="H33" s="4"/>
      <c r="I33" s="4"/>
      <c r="J33" s="9"/>
    </row>
    <row r="34" spans="1:14" x14ac:dyDescent="0.25">
      <c r="A34" s="105"/>
      <c r="B34" s="107">
        <f>'Carga de Datos'!F14</f>
        <v>0</v>
      </c>
      <c r="C34" s="107"/>
      <c r="D34" s="107"/>
      <c r="E34" s="107"/>
      <c r="F34" s="103"/>
      <c r="G34" s="114"/>
      <c r="H34" s="116"/>
      <c r="I34" s="103"/>
      <c r="J34" s="103"/>
    </row>
    <row r="35" spans="1:14" ht="15.75" thickBot="1" x14ac:dyDescent="0.3">
      <c r="A35" s="106"/>
      <c r="B35" s="113">
        <f>'Carga de Datos'!G14</f>
        <v>0</v>
      </c>
      <c r="C35" s="113"/>
      <c r="D35" s="113"/>
      <c r="E35" s="113"/>
      <c r="F35" s="104"/>
      <c r="G35" s="115"/>
      <c r="H35" s="117"/>
      <c r="I35" s="104"/>
      <c r="J35" s="104"/>
    </row>
    <row r="36" spans="1:14" ht="15.75" x14ac:dyDescent="0.25">
      <c r="A36" s="12">
        <v>10</v>
      </c>
      <c r="B36" s="33">
        <f>'Carga de Datos'!B15</f>
        <v>0</v>
      </c>
      <c r="C36" s="9"/>
      <c r="D36" s="9"/>
      <c r="E36" s="10">
        <f>'Carga de Datos'!H15</f>
        <v>0</v>
      </c>
      <c r="F36" s="21">
        <f>'Carga de Datos'!I15</f>
        <v>0</v>
      </c>
      <c r="G36" s="32">
        <f>'Carga de Datos'!C15</f>
        <v>0</v>
      </c>
      <c r="H36" s="4"/>
      <c r="I36" s="4"/>
      <c r="J36" s="9"/>
    </row>
    <row r="37" spans="1:14" x14ac:dyDescent="0.25">
      <c r="A37" s="105"/>
      <c r="B37" s="107">
        <f>'Carga de Datos'!F15</f>
        <v>0</v>
      </c>
      <c r="C37" s="107"/>
      <c r="D37" s="107"/>
      <c r="E37" s="107"/>
      <c r="F37" s="103"/>
      <c r="G37" s="114"/>
      <c r="H37" s="116"/>
      <c r="I37" s="103"/>
      <c r="J37" s="103"/>
    </row>
    <row r="38" spans="1:14" ht="15.75" thickBot="1" x14ac:dyDescent="0.3">
      <c r="A38" s="106"/>
      <c r="B38" s="113">
        <f>'Carga de Datos'!G15</f>
        <v>0</v>
      </c>
      <c r="C38" s="113"/>
      <c r="D38" s="113"/>
      <c r="E38" s="113"/>
      <c r="F38" s="104"/>
      <c r="G38" s="115"/>
      <c r="H38" s="117"/>
      <c r="I38" s="104"/>
      <c r="J38" s="104"/>
    </row>
    <row r="39" spans="1:14" ht="15.75" x14ac:dyDescent="0.25">
      <c r="A39" s="12">
        <v>11</v>
      </c>
      <c r="B39" s="33">
        <f>'Carga de Datos'!B16</f>
        <v>0</v>
      </c>
      <c r="C39" s="9"/>
      <c r="D39" s="9"/>
      <c r="E39" s="10">
        <f>'Carga de Datos'!H16</f>
        <v>0</v>
      </c>
      <c r="F39" s="21">
        <f>'Carga de Datos'!H16</f>
        <v>0</v>
      </c>
      <c r="G39" s="32">
        <f>'Carga de Datos'!C16</f>
        <v>0</v>
      </c>
      <c r="H39" s="4"/>
      <c r="I39" s="4"/>
      <c r="J39" s="9"/>
    </row>
    <row r="40" spans="1:14" x14ac:dyDescent="0.25">
      <c r="A40" s="118"/>
      <c r="B40" s="107">
        <f>'Carga de Datos'!F16</f>
        <v>0</v>
      </c>
      <c r="C40" s="107"/>
      <c r="D40" s="107"/>
      <c r="E40" s="107"/>
      <c r="F40" s="103"/>
      <c r="G40" s="114"/>
      <c r="H40" s="116"/>
      <c r="I40" s="103"/>
      <c r="J40" s="103"/>
    </row>
    <row r="41" spans="1:14" ht="15.75" thickBot="1" x14ac:dyDescent="0.3">
      <c r="A41" s="119"/>
      <c r="B41" s="113">
        <f>'Carga de Datos'!G16</f>
        <v>0</v>
      </c>
      <c r="C41" s="113"/>
      <c r="D41" s="113"/>
      <c r="E41" s="113"/>
      <c r="F41" s="104"/>
      <c r="G41" s="115"/>
      <c r="H41" s="117"/>
      <c r="I41" s="104"/>
      <c r="J41" s="104"/>
    </row>
    <row r="42" spans="1:14" ht="15.75" customHeight="1" x14ac:dyDescent="0.25">
      <c r="A42" s="12">
        <v>12</v>
      </c>
      <c r="B42" s="33">
        <f>'Carga de Datos'!B17</f>
        <v>0</v>
      </c>
      <c r="C42" s="9"/>
      <c r="D42" s="9"/>
      <c r="E42" s="10">
        <f>'Carga de Datos'!H17</f>
        <v>0</v>
      </c>
      <c r="F42" s="21">
        <f>'Carga de Datos'!I17</f>
        <v>0</v>
      </c>
      <c r="G42" s="32">
        <f>'Carga de Datos'!C17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18"/>
      <c r="B43" s="107">
        <f>'Carga de Datos'!F17</f>
        <v>0</v>
      </c>
      <c r="C43" s="107"/>
      <c r="D43" s="107"/>
      <c r="E43" s="107"/>
      <c r="F43" s="103"/>
      <c r="G43" s="114"/>
      <c r="H43" s="116"/>
      <c r="I43" s="103"/>
      <c r="J43" s="103"/>
    </row>
    <row r="44" spans="1:14" ht="16.5" thickBot="1" x14ac:dyDescent="0.3">
      <c r="A44" s="119"/>
      <c r="B44" s="113">
        <f>'Carga de Datos'!G17</f>
        <v>0</v>
      </c>
      <c r="C44" s="113"/>
      <c r="D44" s="113"/>
      <c r="E44" s="113"/>
      <c r="F44" s="104"/>
      <c r="G44" s="115"/>
      <c r="H44" s="117"/>
      <c r="I44" s="104"/>
      <c r="J44" s="104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Datos'!B18</f>
        <v>0</v>
      </c>
      <c r="C45" s="9"/>
      <c r="D45" s="9"/>
      <c r="E45" s="10">
        <f>'Carga de Datos'!H18</f>
        <v>0</v>
      </c>
      <c r="F45" s="21">
        <f>'Carga de Datos'!I18</f>
        <v>0</v>
      </c>
      <c r="G45" s="32">
        <f>'Carga de Datos'!C18</f>
        <v>0</v>
      </c>
      <c r="H45" s="4"/>
      <c r="I45" s="4"/>
      <c r="J45" s="9"/>
    </row>
    <row r="46" spans="1:14" ht="15.75" x14ac:dyDescent="0.25">
      <c r="A46" s="118"/>
      <c r="B46" s="107">
        <f>'Carga de Datos'!F18</f>
        <v>0</v>
      </c>
      <c r="C46" s="107"/>
      <c r="D46" s="107"/>
      <c r="E46" s="107"/>
      <c r="F46" s="103"/>
      <c r="G46" s="114"/>
      <c r="H46" s="116"/>
      <c r="I46" s="103"/>
      <c r="J46" s="103"/>
      <c r="K46" s="4"/>
      <c r="L46" s="4"/>
      <c r="M46" s="4"/>
      <c r="N46" s="4"/>
    </row>
    <row r="47" spans="1:14" ht="15.75" thickBot="1" x14ac:dyDescent="0.3">
      <c r="A47" s="119"/>
      <c r="B47" s="113">
        <f>'Carga de Datos'!G18</f>
        <v>0</v>
      </c>
      <c r="C47" s="113"/>
      <c r="D47" s="113"/>
      <c r="E47" s="113"/>
      <c r="F47" s="104"/>
      <c r="G47" s="115"/>
      <c r="H47" s="117"/>
      <c r="I47" s="104"/>
      <c r="J47" s="104"/>
    </row>
    <row r="48" spans="1:14" ht="15.75" x14ac:dyDescent="0.25">
      <c r="A48" s="12">
        <v>14</v>
      </c>
      <c r="B48" s="33">
        <f>'Carga de Datos'!B19</f>
        <v>0</v>
      </c>
      <c r="C48" s="9"/>
      <c r="D48" s="9"/>
      <c r="E48" s="10">
        <f>'Carga de Datos'!H19</f>
        <v>0</v>
      </c>
      <c r="F48" s="21">
        <f>'Carga de Datos'!I19</f>
        <v>0</v>
      </c>
      <c r="G48" s="32">
        <f>'Carga de Datos'!C19</f>
        <v>0</v>
      </c>
      <c r="H48" s="4"/>
      <c r="I48" s="4"/>
      <c r="J48" s="9"/>
    </row>
    <row r="49" spans="1:10" x14ac:dyDescent="0.25">
      <c r="A49" s="118"/>
      <c r="B49" s="107">
        <f>'Carga de Datos'!F19</f>
        <v>0</v>
      </c>
      <c r="C49" s="107"/>
      <c r="D49" s="107"/>
      <c r="E49" s="107"/>
      <c r="F49" s="103"/>
      <c r="G49" s="114"/>
      <c r="H49" s="116"/>
      <c r="I49" s="103"/>
      <c r="J49" s="103"/>
    </row>
    <row r="50" spans="1:10" ht="15.75" thickBot="1" x14ac:dyDescent="0.3">
      <c r="A50" s="119"/>
      <c r="B50" s="113">
        <f>'Carga de Datos'!G19</f>
        <v>0</v>
      </c>
      <c r="C50" s="113"/>
      <c r="D50" s="113"/>
      <c r="E50" s="113"/>
      <c r="F50" s="104"/>
      <c r="G50" s="115"/>
      <c r="H50" s="117"/>
      <c r="I50" s="104"/>
      <c r="J50" s="104"/>
    </row>
    <row r="51" spans="1:10" ht="15.75" x14ac:dyDescent="0.25">
      <c r="A51" s="12">
        <v>15</v>
      </c>
      <c r="B51" s="33">
        <f>'Carga de Datos'!B20</f>
        <v>0</v>
      </c>
      <c r="C51" s="9"/>
      <c r="D51" s="9"/>
      <c r="E51" s="10">
        <f>'Carga de Datos'!H20</f>
        <v>0</v>
      </c>
      <c r="F51" s="21">
        <f>'Carga de Datos'!I20</f>
        <v>0</v>
      </c>
      <c r="G51" s="32">
        <f>'Carga de Datos'!C20</f>
        <v>0</v>
      </c>
      <c r="H51" s="4"/>
      <c r="I51" s="4"/>
      <c r="J51" s="9"/>
    </row>
    <row r="52" spans="1:10" x14ac:dyDescent="0.25">
      <c r="A52" s="118"/>
      <c r="B52" s="107">
        <f>'Carga de Datos'!F20</f>
        <v>0</v>
      </c>
      <c r="C52" s="107"/>
      <c r="D52" s="107"/>
      <c r="E52" s="107"/>
      <c r="F52" s="103"/>
      <c r="G52" s="114"/>
      <c r="H52" s="116"/>
      <c r="I52" s="103"/>
      <c r="J52" s="103"/>
    </row>
    <row r="53" spans="1:10" ht="15.75" thickBot="1" x14ac:dyDescent="0.3">
      <c r="A53" s="119"/>
      <c r="B53" s="113">
        <f>'Carga de Datos'!G20</f>
        <v>0</v>
      </c>
      <c r="C53" s="113"/>
      <c r="D53" s="113"/>
      <c r="E53" s="113"/>
      <c r="F53" s="104"/>
      <c r="G53" s="115"/>
      <c r="H53" s="117"/>
      <c r="I53" s="104"/>
      <c r="J53" s="104"/>
    </row>
    <row r="54" spans="1:10" ht="15.75" x14ac:dyDescent="0.25">
      <c r="A54" s="12">
        <v>16</v>
      </c>
      <c r="B54" s="33">
        <f>'Carga de Datos'!B21</f>
        <v>0</v>
      </c>
      <c r="C54" s="9"/>
      <c r="D54" s="9"/>
      <c r="E54" s="10">
        <f>'Carga de Datos'!H21</f>
        <v>0</v>
      </c>
      <c r="F54" s="21">
        <f>'Carga de Datos'!H21</f>
        <v>0</v>
      </c>
      <c r="G54" s="32">
        <f>'Carga de Datos'!C21</f>
        <v>0</v>
      </c>
      <c r="H54" s="4"/>
      <c r="I54" s="4"/>
      <c r="J54" s="9"/>
    </row>
    <row r="55" spans="1:10" x14ac:dyDescent="0.25">
      <c r="A55" s="118"/>
      <c r="B55" s="107">
        <f>'Carga de Datos'!F21</f>
        <v>0</v>
      </c>
      <c r="C55" s="107"/>
      <c r="D55" s="107"/>
      <c r="E55" s="107"/>
      <c r="F55" s="103"/>
      <c r="G55" s="114"/>
      <c r="H55" s="116"/>
      <c r="I55" s="103"/>
      <c r="J55" s="103"/>
    </row>
    <row r="56" spans="1:10" ht="15.75" thickBot="1" x14ac:dyDescent="0.3">
      <c r="A56" s="119"/>
      <c r="B56" s="113">
        <f>'Carga de Datos'!G21</f>
        <v>0</v>
      </c>
      <c r="C56" s="113"/>
      <c r="D56" s="113"/>
      <c r="E56" s="113"/>
      <c r="F56" s="104"/>
      <c r="G56" s="115"/>
      <c r="H56" s="117"/>
      <c r="I56" s="104"/>
      <c r="J56" s="104"/>
    </row>
  </sheetData>
  <mergeCells count="118">
    <mergeCell ref="A1:J1"/>
    <mergeCell ref="A2:E2"/>
    <mergeCell ref="F2:J2"/>
    <mergeCell ref="A3:J3"/>
    <mergeCell ref="A6:J6"/>
    <mergeCell ref="A7:J7"/>
    <mergeCell ref="A13:A14"/>
    <mergeCell ref="B13:E13"/>
    <mergeCell ref="F13:G14"/>
    <mergeCell ref="H13:H14"/>
    <mergeCell ref="I13:I14"/>
    <mergeCell ref="J13:J14"/>
    <mergeCell ref="B14:E14"/>
    <mergeCell ref="A10:A11"/>
    <mergeCell ref="B10:E10"/>
    <mergeCell ref="F10:G11"/>
    <mergeCell ref="H10:H11"/>
    <mergeCell ref="I10:I11"/>
    <mergeCell ref="J10:J11"/>
    <mergeCell ref="B11:E11"/>
    <mergeCell ref="A19:A20"/>
    <mergeCell ref="B19:E19"/>
    <mergeCell ref="F19:G20"/>
    <mergeCell ref="H19:H20"/>
    <mergeCell ref="I19:I20"/>
    <mergeCell ref="J19:J20"/>
    <mergeCell ref="B20:E20"/>
    <mergeCell ref="A16:A17"/>
    <mergeCell ref="B16:E16"/>
    <mergeCell ref="F16:G17"/>
    <mergeCell ref="H16:H17"/>
    <mergeCell ref="I16:I17"/>
    <mergeCell ref="J16:J17"/>
    <mergeCell ref="B17:E17"/>
    <mergeCell ref="A25:A26"/>
    <mergeCell ref="B25:E25"/>
    <mergeCell ref="F25:G26"/>
    <mergeCell ref="H25:H26"/>
    <mergeCell ref="I25:I26"/>
    <mergeCell ref="J25:J26"/>
    <mergeCell ref="B26:E26"/>
    <mergeCell ref="A22:A23"/>
    <mergeCell ref="B22:E22"/>
    <mergeCell ref="F22:G23"/>
    <mergeCell ref="H22:H23"/>
    <mergeCell ref="I22:I23"/>
    <mergeCell ref="J22:J23"/>
    <mergeCell ref="B23:E23"/>
    <mergeCell ref="A31:A32"/>
    <mergeCell ref="B31:E31"/>
    <mergeCell ref="F31:G32"/>
    <mergeCell ref="H31:H32"/>
    <mergeCell ref="I31:I32"/>
    <mergeCell ref="J31:J32"/>
    <mergeCell ref="B32:E32"/>
    <mergeCell ref="A28:A29"/>
    <mergeCell ref="B28:E28"/>
    <mergeCell ref="F28:G29"/>
    <mergeCell ref="H28:H29"/>
    <mergeCell ref="I28:I29"/>
    <mergeCell ref="J28:J29"/>
    <mergeCell ref="B29:E29"/>
    <mergeCell ref="A37:A38"/>
    <mergeCell ref="B37:E37"/>
    <mergeCell ref="F37:G38"/>
    <mergeCell ref="H37:H38"/>
    <mergeCell ref="I37:I38"/>
    <mergeCell ref="J37:J38"/>
    <mergeCell ref="B38:E38"/>
    <mergeCell ref="A34:A35"/>
    <mergeCell ref="B34:E34"/>
    <mergeCell ref="F34:G35"/>
    <mergeCell ref="H34:H35"/>
    <mergeCell ref="I34:I35"/>
    <mergeCell ref="J34:J35"/>
    <mergeCell ref="B35:E35"/>
    <mergeCell ref="A43:A44"/>
    <mergeCell ref="B43:E43"/>
    <mergeCell ref="F43:G44"/>
    <mergeCell ref="H43:H44"/>
    <mergeCell ref="I43:I44"/>
    <mergeCell ref="J43:J44"/>
    <mergeCell ref="B44:E44"/>
    <mergeCell ref="A40:A41"/>
    <mergeCell ref="B40:E40"/>
    <mergeCell ref="F40:G41"/>
    <mergeCell ref="H40:H41"/>
    <mergeCell ref="I40:I41"/>
    <mergeCell ref="J40:J41"/>
    <mergeCell ref="B41:E41"/>
    <mergeCell ref="A49:A50"/>
    <mergeCell ref="B49:E49"/>
    <mergeCell ref="F49:G50"/>
    <mergeCell ref="H49:H50"/>
    <mergeCell ref="I49:I50"/>
    <mergeCell ref="J49:J50"/>
    <mergeCell ref="B50:E50"/>
    <mergeCell ref="A46:A47"/>
    <mergeCell ref="B46:E46"/>
    <mergeCell ref="F46:G47"/>
    <mergeCell ref="H46:H47"/>
    <mergeCell ref="I46:I47"/>
    <mergeCell ref="J46:J47"/>
    <mergeCell ref="B47:E47"/>
    <mergeCell ref="A55:A56"/>
    <mergeCell ref="B55:E55"/>
    <mergeCell ref="F55:G56"/>
    <mergeCell ref="H55:H56"/>
    <mergeCell ref="I55:I56"/>
    <mergeCell ref="J55:J56"/>
    <mergeCell ref="B56:E56"/>
    <mergeCell ref="A52:A53"/>
    <mergeCell ref="B52:E52"/>
    <mergeCell ref="F52:G53"/>
    <mergeCell ref="H52:H53"/>
    <mergeCell ref="I52:I53"/>
    <mergeCell ref="J52:J53"/>
    <mergeCell ref="B53:E53"/>
  </mergeCells>
  <pageMargins left="0.7" right="0.7" top="0.75" bottom="0.75" header="0.3" footer="0.3"/>
  <pageSetup paperSize="9"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65539"/>
  <sheetViews>
    <sheetView tabSelected="1" topLeftCell="A2" zoomScale="68" zoomScaleNormal="68" zoomScaleSheetLayoutView="85" workbookViewId="0">
      <selection activeCell="K14" sqref="K14"/>
    </sheetView>
  </sheetViews>
  <sheetFormatPr baseColWidth="10" defaultRowHeight="12.75" x14ac:dyDescent="0.2"/>
  <cols>
    <col min="1" max="1" width="4" style="36" customWidth="1"/>
    <col min="2" max="2" width="29.5703125" style="36" bestFit="1" customWidth="1"/>
    <col min="3" max="3" width="14" style="36" customWidth="1"/>
    <col min="4" max="4" width="29.28515625" style="36" customWidth="1"/>
    <col min="5" max="5" width="10.5703125" style="36" customWidth="1"/>
    <col min="6" max="6" width="6.42578125" style="36" bestFit="1" customWidth="1"/>
    <col min="7" max="7" width="7.7109375" style="36" customWidth="1"/>
    <col min="8" max="8" width="8" style="36" customWidth="1"/>
    <col min="9" max="9" width="17.7109375" style="36" customWidth="1"/>
    <col min="10" max="10" width="4.28515625" style="36" bestFit="1" customWidth="1"/>
    <col min="11" max="13" width="11.42578125" style="36"/>
    <col min="14" max="14" width="11.5703125" style="36" bestFit="1" customWidth="1"/>
    <col min="15" max="16" width="11.42578125" style="36"/>
    <col min="17" max="17" width="34.42578125" style="36" customWidth="1"/>
    <col min="18" max="20" width="11.42578125" style="36"/>
    <col min="21" max="21" width="10" style="36" customWidth="1"/>
    <col min="22" max="256" width="11.42578125" style="36"/>
    <col min="257" max="257" width="4" style="36" customWidth="1"/>
    <col min="258" max="258" width="29.5703125" style="36" bestFit="1" customWidth="1"/>
    <col min="259" max="259" width="14" style="36" customWidth="1"/>
    <col min="260" max="260" width="29.28515625" style="36" customWidth="1"/>
    <col min="261" max="261" width="10.5703125" style="36" customWidth="1"/>
    <col min="262" max="262" width="6.42578125" style="36" bestFit="1" customWidth="1"/>
    <col min="263" max="263" width="7.7109375" style="36" customWidth="1"/>
    <col min="264" max="264" width="8" style="36" customWidth="1"/>
    <col min="265" max="265" width="17.7109375" style="36" customWidth="1"/>
    <col min="266" max="266" width="4.28515625" style="36" bestFit="1" customWidth="1"/>
    <col min="267" max="269" width="11.42578125" style="36"/>
    <col min="270" max="270" width="11.5703125" style="36" bestFit="1" customWidth="1"/>
    <col min="271" max="272" width="11.42578125" style="36"/>
    <col min="273" max="273" width="34.42578125" style="36" customWidth="1"/>
    <col min="274" max="276" width="11.42578125" style="36"/>
    <col min="277" max="277" width="10" style="36" customWidth="1"/>
    <col min="278" max="512" width="11.42578125" style="36"/>
    <col min="513" max="513" width="4" style="36" customWidth="1"/>
    <col min="514" max="514" width="29.5703125" style="36" bestFit="1" customWidth="1"/>
    <col min="515" max="515" width="14" style="36" customWidth="1"/>
    <col min="516" max="516" width="29.28515625" style="36" customWidth="1"/>
    <col min="517" max="517" width="10.5703125" style="36" customWidth="1"/>
    <col min="518" max="518" width="6.42578125" style="36" bestFit="1" customWidth="1"/>
    <col min="519" max="519" width="7.7109375" style="36" customWidth="1"/>
    <col min="520" max="520" width="8" style="36" customWidth="1"/>
    <col min="521" max="521" width="17.7109375" style="36" customWidth="1"/>
    <col min="522" max="522" width="4.28515625" style="36" bestFit="1" customWidth="1"/>
    <col min="523" max="525" width="11.42578125" style="36"/>
    <col min="526" max="526" width="11.5703125" style="36" bestFit="1" customWidth="1"/>
    <col min="527" max="528" width="11.42578125" style="36"/>
    <col min="529" max="529" width="34.42578125" style="36" customWidth="1"/>
    <col min="530" max="532" width="11.42578125" style="36"/>
    <col min="533" max="533" width="10" style="36" customWidth="1"/>
    <col min="534" max="768" width="11.42578125" style="36"/>
    <col min="769" max="769" width="4" style="36" customWidth="1"/>
    <col min="770" max="770" width="29.5703125" style="36" bestFit="1" customWidth="1"/>
    <col min="771" max="771" width="14" style="36" customWidth="1"/>
    <col min="772" max="772" width="29.28515625" style="36" customWidth="1"/>
    <col min="773" max="773" width="10.5703125" style="36" customWidth="1"/>
    <col min="774" max="774" width="6.42578125" style="36" bestFit="1" customWidth="1"/>
    <col min="775" max="775" width="7.7109375" style="36" customWidth="1"/>
    <col min="776" max="776" width="8" style="36" customWidth="1"/>
    <col min="777" max="777" width="17.7109375" style="36" customWidth="1"/>
    <col min="778" max="778" width="4.28515625" style="36" bestFit="1" customWidth="1"/>
    <col min="779" max="781" width="11.42578125" style="36"/>
    <col min="782" max="782" width="11.5703125" style="36" bestFit="1" customWidth="1"/>
    <col min="783" max="784" width="11.42578125" style="36"/>
    <col min="785" max="785" width="34.42578125" style="36" customWidth="1"/>
    <col min="786" max="788" width="11.42578125" style="36"/>
    <col min="789" max="789" width="10" style="36" customWidth="1"/>
    <col min="790" max="1024" width="11.42578125" style="36"/>
    <col min="1025" max="1025" width="4" style="36" customWidth="1"/>
    <col min="1026" max="1026" width="29.5703125" style="36" bestFit="1" customWidth="1"/>
    <col min="1027" max="1027" width="14" style="36" customWidth="1"/>
    <col min="1028" max="1028" width="29.28515625" style="36" customWidth="1"/>
    <col min="1029" max="1029" width="10.5703125" style="36" customWidth="1"/>
    <col min="1030" max="1030" width="6.42578125" style="36" bestFit="1" customWidth="1"/>
    <col min="1031" max="1031" width="7.7109375" style="36" customWidth="1"/>
    <col min="1032" max="1032" width="8" style="36" customWidth="1"/>
    <col min="1033" max="1033" width="17.7109375" style="36" customWidth="1"/>
    <col min="1034" max="1034" width="4.28515625" style="36" bestFit="1" customWidth="1"/>
    <col min="1035" max="1037" width="11.42578125" style="36"/>
    <col min="1038" max="1038" width="11.5703125" style="36" bestFit="1" customWidth="1"/>
    <col min="1039" max="1040" width="11.42578125" style="36"/>
    <col min="1041" max="1041" width="34.42578125" style="36" customWidth="1"/>
    <col min="1042" max="1044" width="11.42578125" style="36"/>
    <col min="1045" max="1045" width="10" style="36" customWidth="1"/>
    <col min="1046" max="1280" width="11.42578125" style="36"/>
    <col min="1281" max="1281" width="4" style="36" customWidth="1"/>
    <col min="1282" max="1282" width="29.5703125" style="36" bestFit="1" customWidth="1"/>
    <col min="1283" max="1283" width="14" style="36" customWidth="1"/>
    <col min="1284" max="1284" width="29.28515625" style="36" customWidth="1"/>
    <col min="1285" max="1285" width="10.5703125" style="36" customWidth="1"/>
    <col min="1286" max="1286" width="6.42578125" style="36" bestFit="1" customWidth="1"/>
    <col min="1287" max="1287" width="7.7109375" style="36" customWidth="1"/>
    <col min="1288" max="1288" width="8" style="36" customWidth="1"/>
    <col min="1289" max="1289" width="17.7109375" style="36" customWidth="1"/>
    <col min="1290" max="1290" width="4.28515625" style="36" bestFit="1" customWidth="1"/>
    <col min="1291" max="1293" width="11.42578125" style="36"/>
    <col min="1294" max="1294" width="11.5703125" style="36" bestFit="1" customWidth="1"/>
    <col min="1295" max="1296" width="11.42578125" style="36"/>
    <col min="1297" max="1297" width="34.42578125" style="36" customWidth="1"/>
    <col min="1298" max="1300" width="11.42578125" style="36"/>
    <col min="1301" max="1301" width="10" style="36" customWidth="1"/>
    <col min="1302" max="1536" width="11.42578125" style="36"/>
    <col min="1537" max="1537" width="4" style="36" customWidth="1"/>
    <col min="1538" max="1538" width="29.5703125" style="36" bestFit="1" customWidth="1"/>
    <col min="1539" max="1539" width="14" style="36" customWidth="1"/>
    <col min="1540" max="1540" width="29.28515625" style="36" customWidth="1"/>
    <col min="1541" max="1541" width="10.5703125" style="36" customWidth="1"/>
    <col min="1542" max="1542" width="6.42578125" style="36" bestFit="1" customWidth="1"/>
    <col min="1543" max="1543" width="7.7109375" style="36" customWidth="1"/>
    <col min="1544" max="1544" width="8" style="36" customWidth="1"/>
    <col min="1545" max="1545" width="17.7109375" style="36" customWidth="1"/>
    <col min="1546" max="1546" width="4.28515625" style="36" bestFit="1" customWidth="1"/>
    <col min="1547" max="1549" width="11.42578125" style="36"/>
    <col min="1550" max="1550" width="11.5703125" style="36" bestFit="1" customWidth="1"/>
    <col min="1551" max="1552" width="11.42578125" style="36"/>
    <col min="1553" max="1553" width="34.42578125" style="36" customWidth="1"/>
    <col min="1554" max="1556" width="11.42578125" style="36"/>
    <col min="1557" max="1557" width="10" style="36" customWidth="1"/>
    <col min="1558" max="1792" width="11.42578125" style="36"/>
    <col min="1793" max="1793" width="4" style="36" customWidth="1"/>
    <col min="1794" max="1794" width="29.5703125" style="36" bestFit="1" customWidth="1"/>
    <col min="1795" max="1795" width="14" style="36" customWidth="1"/>
    <col min="1796" max="1796" width="29.28515625" style="36" customWidth="1"/>
    <col min="1797" max="1797" width="10.5703125" style="36" customWidth="1"/>
    <col min="1798" max="1798" width="6.42578125" style="36" bestFit="1" customWidth="1"/>
    <col min="1799" max="1799" width="7.7109375" style="36" customWidth="1"/>
    <col min="1800" max="1800" width="8" style="36" customWidth="1"/>
    <col min="1801" max="1801" width="17.7109375" style="36" customWidth="1"/>
    <col min="1802" max="1802" width="4.28515625" style="36" bestFit="1" customWidth="1"/>
    <col min="1803" max="1805" width="11.42578125" style="36"/>
    <col min="1806" max="1806" width="11.5703125" style="36" bestFit="1" customWidth="1"/>
    <col min="1807" max="1808" width="11.42578125" style="36"/>
    <col min="1809" max="1809" width="34.42578125" style="36" customWidth="1"/>
    <col min="1810" max="1812" width="11.42578125" style="36"/>
    <col min="1813" max="1813" width="10" style="36" customWidth="1"/>
    <col min="1814" max="2048" width="11.42578125" style="36"/>
    <col min="2049" max="2049" width="4" style="36" customWidth="1"/>
    <col min="2050" max="2050" width="29.5703125" style="36" bestFit="1" customWidth="1"/>
    <col min="2051" max="2051" width="14" style="36" customWidth="1"/>
    <col min="2052" max="2052" width="29.28515625" style="36" customWidth="1"/>
    <col min="2053" max="2053" width="10.5703125" style="36" customWidth="1"/>
    <col min="2054" max="2054" width="6.42578125" style="36" bestFit="1" customWidth="1"/>
    <col min="2055" max="2055" width="7.7109375" style="36" customWidth="1"/>
    <col min="2056" max="2056" width="8" style="36" customWidth="1"/>
    <col min="2057" max="2057" width="17.7109375" style="36" customWidth="1"/>
    <col min="2058" max="2058" width="4.28515625" style="36" bestFit="1" customWidth="1"/>
    <col min="2059" max="2061" width="11.42578125" style="36"/>
    <col min="2062" max="2062" width="11.5703125" style="36" bestFit="1" customWidth="1"/>
    <col min="2063" max="2064" width="11.42578125" style="36"/>
    <col min="2065" max="2065" width="34.42578125" style="36" customWidth="1"/>
    <col min="2066" max="2068" width="11.42578125" style="36"/>
    <col min="2069" max="2069" width="10" style="36" customWidth="1"/>
    <col min="2070" max="2304" width="11.42578125" style="36"/>
    <col min="2305" max="2305" width="4" style="36" customWidth="1"/>
    <col min="2306" max="2306" width="29.5703125" style="36" bestFit="1" customWidth="1"/>
    <col min="2307" max="2307" width="14" style="36" customWidth="1"/>
    <col min="2308" max="2308" width="29.28515625" style="36" customWidth="1"/>
    <col min="2309" max="2309" width="10.5703125" style="36" customWidth="1"/>
    <col min="2310" max="2310" width="6.42578125" style="36" bestFit="1" customWidth="1"/>
    <col min="2311" max="2311" width="7.7109375" style="36" customWidth="1"/>
    <col min="2312" max="2312" width="8" style="36" customWidth="1"/>
    <col min="2313" max="2313" width="17.7109375" style="36" customWidth="1"/>
    <col min="2314" max="2314" width="4.28515625" style="36" bestFit="1" customWidth="1"/>
    <col min="2315" max="2317" width="11.42578125" style="36"/>
    <col min="2318" max="2318" width="11.5703125" style="36" bestFit="1" customWidth="1"/>
    <col min="2319" max="2320" width="11.42578125" style="36"/>
    <col min="2321" max="2321" width="34.42578125" style="36" customWidth="1"/>
    <col min="2322" max="2324" width="11.42578125" style="36"/>
    <col min="2325" max="2325" width="10" style="36" customWidth="1"/>
    <col min="2326" max="2560" width="11.42578125" style="36"/>
    <col min="2561" max="2561" width="4" style="36" customWidth="1"/>
    <col min="2562" max="2562" width="29.5703125" style="36" bestFit="1" customWidth="1"/>
    <col min="2563" max="2563" width="14" style="36" customWidth="1"/>
    <col min="2564" max="2564" width="29.28515625" style="36" customWidth="1"/>
    <col min="2565" max="2565" width="10.5703125" style="36" customWidth="1"/>
    <col min="2566" max="2566" width="6.42578125" style="36" bestFit="1" customWidth="1"/>
    <col min="2567" max="2567" width="7.7109375" style="36" customWidth="1"/>
    <col min="2568" max="2568" width="8" style="36" customWidth="1"/>
    <col min="2569" max="2569" width="17.7109375" style="36" customWidth="1"/>
    <col min="2570" max="2570" width="4.28515625" style="36" bestFit="1" customWidth="1"/>
    <col min="2571" max="2573" width="11.42578125" style="36"/>
    <col min="2574" max="2574" width="11.5703125" style="36" bestFit="1" customWidth="1"/>
    <col min="2575" max="2576" width="11.42578125" style="36"/>
    <col min="2577" max="2577" width="34.42578125" style="36" customWidth="1"/>
    <col min="2578" max="2580" width="11.42578125" style="36"/>
    <col min="2581" max="2581" width="10" style="36" customWidth="1"/>
    <col min="2582" max="2816" width="11.42578125" style="36"/>
    <col min="2817" max="2817" width="4" style="36" customWidth="1"/>
    <col min="2818" max="2818" width="29.5703125" style="36" bestFit="1" customWidth="1"/>
    <col min="2819" max="2819" width="14" style="36" customWidth="1"/>
    <col min="2820" max="2820" width="29.28515625" style="36" customWidth="1"/>
    <col min="2821" max="2821" width="10.5703125" style="36" customWidth="1"/>
    <col min="2822" max="2822" width="6.42578125" style="36" bestFit="1" customWidth="1"/>
    <col min="2823" max="2823" width="7.7109375" style="36" customWidth="1"/>
    <col min="2824" max="2824" width="8" style="36" customWidth="1"/>
    <col min="2825" max="2825" width="17.7109375" style="36" customWidth="1"/>
    <col min="2826" max="2826" width="4.28515625" style="36" bestFit="1" customWidth="1"/>
    <col min="2827" max="2829" width="11.42578125" style="36"/>
    <col min="2830" max="2830" width="11.5703125" style="36" bestFit="1" customWidth="1"/>
    <col min="2831" max="2832" width="11.42578125" style="36"/>
    <col min="2833" max="2833" width="34.42578125" style="36" customWidth="1"/>
    <col min="2834" max="2836" width="11.42578125" style="36"/>
    <col min="2837" max="2837" width="10" style="36" customWidth="1"/>
    <col min="2838" max="3072" width="11.42578125" style="36"/>
    <col min="3073" max="3073" width="4" style="36" customWidth="1"/>
    <col min="3074" max="3074" width="29.5703125" style="36" bestFit="1" customWidth="1"/>
    <col min="3075" max="3075" width="14" style="36" customWidth="1"/>
    <col min="3076" max="3076" width="29.28515625" style="36" customWidth="1"/>
    <col min="3077" max="3077" width="10.5703125" style="36" customWidth="1"/>
    <col min="3078" max="3078" width="6.42578125" style="36" bestFit="1" customWidth="1"/>
    <col min="3079" max="3079" width="7.7109375" style="36" customWidth="1"/>
    <col min="3080" max="3080" width="8" style="36" customWidth="1"/>
    <col min="3081" max="3081" width="17.7109375" style="36" customWidth="1"/>
    <col min="3082" max="3082" width="4.28515625" style="36" bestFit="1" customWidth="1"/>
    <col min="3083" max="3085" width="11.42578125" style="36"/>
    <col min="3086" max="3086" width="11.5703125" style="36" bestFit="1" customWidth="1"/>
    <col min="3087" max="3088" width="11.42578125" style="36"/>
    <col min="3089" max="3089" width="34.42578125" style="36" customWidth="1"/>
    <col min="3090" max="3092" width="11.42578125" style="36"/>
    <col min="3093" max="3093" width="10" style="36" customWidth="1"/>
    <col min="3094" max="3328" width="11.42578125" style="36"/>
    <col min="3329" max="3329" width="4" style="36" customWidth="1"/>
    <col min="3330" max="3330" width="29.5703125" style="36" bestFit="1" customWidth="1"/>
    <col min="3331" max="3331" width="14" style="36" customWidth="1"/>
    <col min="3332" max="3332" width="29.28515625" style="36" customWidth="1"/>
    <col min="3333" max="3333" width="10.5703125" style="36" customWidth="1"/>
    <col min="3334" max="3334" width="6.42578125" style="36" bestFit="1" customWidth="1"/>
    <col min="3335" max="3335" width="7.7109375" style="36" customWidth="1"/>
    <col min="3336" max="3336" width="8" style="36" customWidth="1"/>
    <col min="3337" max="3337" width="17.7109375" style="36" customWidth="1"/>
    <col min="3338" max="3338" width="4.28515625" style="36" bestFit="1" customWidth="1"/>
    <col min="3339" max="3341" width="11.42578125" style="36"/>
    <col min="3342" max="3342" width="11.5703125" style="36" bestFit="1" customWidth="1"/>
    <col min="3343" max="3344" width="11.42578125" style="36"/>
    <col min="3345" max="3345" width="34.42578125" style="36" customWidth="1"/>
    <col min="3346" max="3348" width="11.42578125" style="36"/>
    <col min="3349" max="3349" width="10" style="36" customWidth="1"/>
    <col min="3350" max="3584" width="11.42578125" style="36"/>
    <col min="3585" max="3585" width="4" style="36" customWidth="1"/>
    <col min="3586" max="3586" width="29.5703125" style="36" bestFit="1" customWidth="1"/>
    <col min="3587" max="3587" width="14" style="36" customWidth="1"/>
    <col min="3588" max="3588" width="29.28515625" style="36" customWidth="1"/>
    <col min="3589" max="3589" width="10.5703125" style="36" customWidth="1"/>
    <col min="3590" max="3590" width="6.42578125" style="36" bestFit="1" customWidth="1"/>
    <col min="3591" max="3591" width="7.7109375" style="36" customWidth="1"/>
    <col min="3592" max="3592" width="8" style="36" customWidth="1"/>
    <col min="3593" max="3593" width="17.7109375" style="36" customWidth="1"/>
    <col min="3594" max="3594" width="4.28515625" style="36" bestFit="1" customWidth="1"/>
    <col min="3595" max="3597" width="11.42578125" style="36"/>
    <col min="3598" max="3598" width="11.5703125" style="36" bestFit="1" customWidth="1"/>
    <col min="3599" max="3600" width="11.42578125" style="36"/>
    <col min="3601" max="3601" width="34.42578125" style="36" customWidth="1"/>
    <col min="3602" max="3604" width="11.42578125" style="36"/>
    <col min="3605" max="3605" width="10" style="36" customWidth="1"/>
    <col min="3606" max="3840" width="11.42578125" style="36"/>
    <col min="3841" max="3841" width="4" style="36" customWidth="1"/>
    <col min="3842" max="3842" width="29.5703125" style="36" bestFit="1" customWidth="1"/>
    <col min="3843" max="3843" width="14" style="36" customWidth="1"/>
    <col min="3844" max="3844" width="29.28515625" style="36" customWidth="1"/>
    <col min="3845" max="3845" width="10.5703125" style="36" customWidth="1"/>
    <col min="3846" max="3846" width="6.42578125" style="36" bestFit="1" customWidth="1"/>
    <col min="3847" max="3847" width="7.7109375" style="36" customWidth="1"/>
    <col min="3848" max="3848" width="8" style="36" customWidth="1"/>
    <col min="3849" max="3849" width="17.7109375" style="36" customWidth="1"/>
    <col min="3850" max="3850" width="4.28515625" style="36" bestFit="1" customWidth="1"/>
    <col min="3851" max="3853" width="11.42578125" style="36"/>
    <col min="3854" max="3854" width="11.5703125" style="36" bestFit="1" customWidth="1"/>
    <col min="3855" max="3856" width="11.42578125" style="36"/>
    <col min="3857" max="3857" width="34.42578125" style="36" customWidth="1"/>
    <col min="3858" max="3860" width="11.42578125" style="36"/>
    <col min="3861" max="3861" width="10" style="36" customWidth="1"/>
    <col min="3862" max="4096" width="11.42578125" style="36"/>
    <col min="4097" max="4097" width="4" style="36" customWidth="1"/>
    <col min="4098" max="4098" width="29.5703125" style="36" bestFit="1" customWidth="1"/>
    <col min="4099" max="4099" width="14" style="36" customWidth="1"/>
    <col min="4100" max="4100" width="29.28515625" style="36" customWidth="1"/>
    <col min="4101" max="4101" width="10.5703125" style="36" customWidth="1"/>
    <col min="4102" max="4102" width="6.42578125" style="36" bestFit="1" customWidth="1"/>
    <col min="4103" max="4103" width="7.7109375" style="36" customWidth="1"/>
    <col min="4104" max="4104" width="8" style="36" customWidth="1"/>
    <col min="4105" max="4105" width="17.7109375" style="36" customWidth="1"/>
    <col min="4106" max="4106" width="4.28515625" style="36" bestFit="1" customWidth="1"/>
    <col min="4107" max="4109" width="11.42578125" style="36"/>
    <col min="4110" max="4110" width="11.5703125" style="36" bestFit="1" customWidth="1"/>
    <col min="4111" max="4112" width="11.42578125" style="36"/>
    <col min="4113" max="4113" width="34.42578125" style="36" customWidth="1"/>
    <col min="4114" max="4116" width="11.42578125" style="36"/>
    <col min="4117" max="4117" width="10" style="36" customWidth="1"/>
    <col min="4118" max="4352" width="11.42578125" style="36"/>
    <col min="4353" max="4353" width="4" style="36" customWidth="1"/>
    <col min="4354" max="4354" width="29.5703125" style="36" bestFit="1" customWidth="1"/>
    <col min="4355" max="4355" width="14" style="36" customWidth="1"/>
    <col min="4356" max="4356" width="29.28515625" style="36" customWidth="1"/>
    <col min="4357" max="4357" width="10.5703125" style="36" customWidth="1"/>
    <col min="4358" max="4358" width="6.42578125" style="36" bestFit="1" customWidth="1"/>
    <col min="4359" max="4359" width="7.7109375" style="36" customWidth="1"/>
    <col min="4360" max="4360" width="8" style="36" customWidth="1"/>
    <col min="4361" max="4361" width="17.7109375" style="36" customWidth="1"/>
    <col min="4362" max="4362" width="4.28515625" style="36" bestFit="1" customWidth="1"/>
    <col min="4363" max="4365" width="11.42578125" style="36"/>
    <col min="4366" max="4366" width="11.5703125" style="36" bestFit="1" customWidth="1"/>
    <col min="4367" max="4368" width="11.42578125" style="36"/>
    <col min="4369" max="4369" width="34.42578125" style="36" customWidth="1"/>
    <col min="4370" max="4372" width="11.42578125" style="36"/>
    <col min="4373" max="4373" width="10" style="36" customWidth="1"/>
    <col min="4374" max="4608" width="11.42578125" style="36"/>
    <col min="4609" max="4609" width="4" style="36" customWidth="1"/>
    <col min="4610" max="4610" width="29.5703125" style="36" bestFit="1" customWidth="1"/>
    <col min="4611" max="4611" width="14" style="36" customWidth="1"/>
    <col min="4612" max="4612" width="29.28515625" style="36" customWidth="1"/>
    <col min="4613" max="4613" width="10.5703125" style="36" customWidth="1"/>
    <col min="4614" max="4614" width="6.42578125" style="36" bestFit="1" customWidth="1"/>
    <col min="4615" max="4615" width="7.7109375" style="36" customWidth="1"/>
    <col min="4616" max="4616" width="8" style="36" customWidth="1"/>
    <col min="4617" max="4617" width="17.7109375" style="36" customWidth="1"/>
    <col min="4618" max="4618" width="4.28515625" style="36" bestFit="1" customWidth="1"/>
    <col min="4619" max="4621" width="11.42578125" style="36"/>
    <col min="4622" max="4622" width="11.5703125" style="36" bestFit="1" customWidth="1"/>
    <col min="4623" max="4624" width="11.42578125" style="36"/>
    <col min="4625" max="4625" width="34.42578125" style="36" customWidth="1"/>
    <col min="4626" max="4628" width="11.42578125" style="36"/>
    <col min="4629" max="4629" width="10" style="36" customWidth="1"/>
    <col min="4630" max="4864" width="11.42578125" style="36"/>
    <col min="4865" max="4865" width="4" style="36" customWidth="1"/>
    <col min="4866" max="4866" width="29.5703125" style="36" bestFit="1" customWidth="1"/>
    <col min="4867" max="4867" width="14" style="36" customWidth="1"/>
    <col min="4868" max="4868" width="29.28515625" style="36" customWidth="1"/>
    <col min="4869" max="4869" width="10.5703125" style="36" customWidth="1"/>
    <col min="4870" max="4870" width="6.42578125" style="36" bestFit="1" customWidth="1"/>
    <col min="4871" max="4871" width="7.7109375" style="36" customWidth="1"/>
    <col min="4872" max="4872" width="8" style="36" customWidth="1"/>
    <col min="4873" max="4873" width="17.7109375" style="36" customWidth="1"/>
    <col min="4874" max="4874" width="4.28515625" style="36" bestFit="1" customWidth="1"/>
    <col min="4875" max="4877" width="11.42578125" style="36"/>
    <col min="4878" max="4878" width="11.5703125" style="36" bestFit="1" customWidth="1"/>
    <col min="4879" max="4880" width="11.42578125" style="36"/>
    <col min="4881" max="4881" width="34.42578125" style="36" customWidth="1"/>
    <col min="4882" max="4884" width="11.42578125" style="36"/>
    <col min="4885" max="4885" width="10" style="36" customWidth="1"/>
    <col min="4886" max="5120" width="11.42578125" style="36"/>
    <col min="5121" max="5121" width="4" style="36" customWidth="1"/>
    <col min="5122" max="5122" width="29.5703125" style="36" bestFit="1" customWidth="1"/>
    <col min="5123" max="5123" width="14" style="36" customWidth="1"/>
    <col min="5124" max="5124" width="29.28515625" style="36" customWidth="1"/>
    <col min="5125" max="5125" width="10.5703125" style="36" customWidth="1"/>
    <col min="5126" max="5126" width="6.42578125" style="36" bestFit="1" customWidth="1"/>
    <col min="5127" max="5127" width="7.7109375" style="36" customWidth="1"/>
    <col min="5128" max="5128" width="8" style="36" customWidth="1"/>
    <col min="5129" max="5129" width="17.7109375" style="36" customWidth="1"/>
    <col min="5130" max="5130" width="4.28515625" style="36" bestFit="1" customWidth="1"/>
    <col min="5131" max="5133" width="11.42578125" style="36"/>
    <col min="5134" max="5134" width="11.5703125" style="36" bestFit="1" customWidth="1"/>
    <col min="5135" max="5136" width="11.42578125" style="36"/>
    <col min="5137" max="5137" width="34.42578125" style="36" customWidth="1"/>
    <col min="5138" max="5140" width="11.42578125" style="36"/>
    <col min="5141" max="5141" width="10" style="36" customWidth="1"/>
    <col min="5142" max="5376" width="11.42578125" style="36"/>
    <col min="5377" max="5377" width="4" style="36" customWidth="1"/>
    <col min="5378" max="5378" width="29.5703125" style="36" bestFit="1" customWidth="1"/>
    <col min="5379" max="5379" width="14" style="36" customWidth="1"/>
    <col min="5380" max="5380" width="29.28515625" style="36" customWidth="1"/>
    <col min="5381" max="5381" width="10.5703125" style="36" customWidth="1"/>
    <col min="5382" max="5382" width="6.42578125" style="36" bestFit="1" customWidth="1"/>
    <col min="5383" max="5383" width="7.7109375" style="36" customWidth="1"/>
    <col min="5384" max="5384" width="8" style="36" customWidth="1"/>
    <col min="5385" max="5385" width="17.7109375" style="36" customWidth="1"/>
    <col min="5386" max="5386" width="4.28515625" style="36" bestFit="1" customWidth="1"/>
    <col min="5387" max="5389" width="11.42578125" style="36"/>
    <col min="5390" max="5390" width="11.5703125" style="36" bestFit="1" customWidth="1"/>
    <col min="5391" max="5392" width="11.42578125" style="36"/>
    <col min="5393" max="5393" width="34.42578125" style="36" customWidth="1"/>
    <col min="5394" max="5396" width="11.42578125" style="36"/>
    <col min="5397" max="5397" width="10" style="36" customWidth="1"/>
    <col min="5398" max="5632" width="11.42578125" style="36"/>
    <col min="5633" max="5633" width="4" style="36" customWidth="1"/>
    <col min="5634" max="5634" width="29.5703125" style="36" bestFit="1" customWidth="1"/>
    <col min="5635" max="5635" width="14" style="36" customWidth="1"/>
    <col min="5636" max="5636" width="29.28515625" style="36" customWidth="1"/>
    <col min="5637" max="5637" width="10.5703125" style="36" customWidth="1"/>
    <col min="5638" max="5638" width="6.42578125" style="36" bestFit="1" customWidth="1"/>
    <col min="5639" max="5639" width="7.7109375" style="36" customWidth="1"/>
    <col min="5640" max="5640" width="8" style="36" customWidth="1"/>
    <col min="5641" max="5641" width="17.7109375" style="36" customWidth="1"/>
    <col min="5642" max="5642" width="4.28515625" style="36" bestFit="1" customWidth="1"/>
    <col min="5643" max="5645" width="11.42578125" style="36"/>
    <col min="5646" max="5646" width="11.5703125" style="36" bestFit="1" customWidth="1"/>
    <col min="5647" max="5648" width="11.42578125" style="36"/>
    <col min="5649" max="5649" width="34.42578125" style="36" customWidth="1"/>
    <col min="5650" max="5652" width="11.42578125" style="36"/>
    <col min="5653" max="5653" width="10" style="36" customWidth="1"/>
    <col min="5654" max="5888" width="11.42578125" style="36"/>
    <col min="5889" max="5889" width="4" style="36" customWidth="1"/>
    <col min="5890" max="5890" width="29.5703125" style="36" bestFit="1" customWidth="1"/>
    <col min="5891" max="5891" width="14" style="36" customWidth="1"/>
    <col min="5892" max="5892" width="29.28515625" style="36" customWidth="1"/>
    <col min="5893" max="5893" width="10.5703125" style="36" customWidth="1"/>
    <col min="5894" max="5894" width="6.42578125" style="36" bestFit="1" customWidth="1"/>
    <col min="5895" max="5895" width="7.7109375" style="36" customWidth="1"/>
    <col min="5896" max="5896" width="8" style="36" customWidth="1"/>
    <col min="5897" max="5897" width="17.7109375" style="36" customWidth="1"/>
    <col min="5898" max="5898" width="4.28515625" style="36" bestFit="1" customWidth="1"/>
    <col min="5899" max="5901" width="11.42578125" style="36"/>
    <col min="5902" max="5902" width="11.5703125" style="36" bestFit="1" customWidth="1"/>
    <col min="5903" max="5904" width="11.42578125" style="36"/>
    <col min="5905" max="5905" width="34.42578125" style="36" customWidth="1"/>
    <col min="5906" max="5908" width="11.42578125" style="36"/>
    <col min="5909" max="5909" width="10" style="36" customWidth="1"/>
    <col min="5910" max="6144" width="11.42578125" style="36"/>
    <col min="6145" max="6145" width="4" style="36" customWidth="1"/>
    <col min="6146" max="6146" width="29.5703125" style="36" bestFit="1" customWidth="1"/>
    <col min="6147" max="6147" width="14" style="36" customWidth="1"/>
    <col min="6148" max="6148" width="29.28515625" style="36" customWidth="1"/>
    <col min="6149" max="6149" width="10.5703125" style="36" customWidth="1"/>
    <col min="6150" max="6150" width="6.42578125" style="36" bestFit="1" customWidth="1"/>
    <col min="6151" max="6151" width="7.7109375" style="36" customWidth="1"/>
    <col min="6152" max="6152" width="8" style="36" customWidth="1"/>
    <col min="6153" max="6153" width="17.7109375" style="36" customWidth="1"/>
    <col min="6154" max="6154" width="4.28515625" style="36" bestFit="1" customWidth="1"/>
    <col min="6155" max="6157" width="11.42578125" style="36"/>
    <col min="6158" max="6158" width="11.5703125" style="36" bestFit="1" customWidth="1"/>
    <col min="6159" max="6160" width="11.42578125" style="36"/>
    <col min="6161" max="6161" width="34.42578125" style="36" customWidth="1"/>
    <col min="6162" max="6164" width="11.42578125" style="36"/>
    <col min="6165" max="6165" width="10" style="36" customWidth="1"/>
    <col min="6166" max="6400" width="11.42578125" style="36"/>
    <col min="6401" max="6401" width="4" style="36" customWidth="1"/>
    <col min="6402" max="6402" width="29.5703125" style="36" bestFit="1" customWidth="1"/>
    <col min="6403" max="6403" width="14" style="36" customWidth="1"/>
    <col min="6404" max="6404" width="29.28515625" style="36" customWidth="1"/>
    <col min="6405" max="6405" width="10.5703125" style="36" customWidth="1"/>
    <col min="6406" max="6406" width="6.42578125" style="36" bestFit="1" customWidth="1"/>
    <col min="6407" max="6407" width="7.7109375" style="36" customWidth="1"/>
    <col min="6408" max="6408" width="8" style="36" customWidth="1"/>
    <col min="6409" max="6409" width="17.7109375" style="36" customWidth="1"/>
    <col min="6410" max="6410" width="4.28515625" style="36" bestFit="1" customWidth="1"/>
    <col min="6411" max="6413" width="11.42578125" style="36"/>
    <col min="6414" max="6414" width="11.5703125" style="36" bestFit="1" customWidth="1"/>
    <col min="6415" max="6416" width="11.42578125" style="36"/>
    <col min="6417" max="6417" width="34.42578125" style="36" customWidth="1"/>
    <col min="6418" max="6420" width="11.42578125" style="36"/>
    <col min="6421" max="6421" width="10" style="36" customWidth="1"/>
    <col min="6422" max="6656" width="11.42578125" style="36"/>
    <col min="6657" max="6657" width="4" style="36" customWidth="1"/>
    <col min="6658" max="6658" width="29.5703125" style="36" bestFit="1" customWidth="1"/>
    <col min="6659" max="6659" width="14" style="36" customWidth="1"/>
    <col min="6660" max="6660" width="29.28515625" style="36" customWidth="1"/>
    <col min="6661" max="6661" width="10.5703125" style="36" customWidth="1"/>
    <col min="6662" max="6662" width="6.42578125" style="36" bestFit="1" customWidth="1"/>
    <col min="6663" max="6663" width="7.7109375" style="36" customWidth="1"/>
    <col min="6664" max="6664" width="8" style="36" customWidth="1"/>
    <col min="6665" max="6665" width="17.7109375" style="36" customWidth="1"/>
    <col min="6666" max="6666" width="4.28515625" style="36" bestFit="1" customWidth="1"/>
    <col min="6667" max="6669" width="11.42578125" style="36"/>
    <col min="6670" max="6670" width="11.5703125" style="36" bestFit="1" customWidth="1"/>
    <col min="6671" max="6672" width="11.42578125" style="36"/>
    <col min="6673" max="6673" width="34.42578125" style="36" customWidth="1"/>
    <col min="6674" max="6676" width="11.42578125" style="36"/>
    <col min="6677" max="6677" width="10" style="36" customWidth="1"/>
    <col min="6678" max="6912" width="11.42578125" style="36"/>
    <col min="6913" max="6913" width="4" style="36" customWidth="1"/>
    <col min="6914" max="6914" width="29.5703125" style="36" bestFit="1" customWidth="1"/>
    <col min="6915" max="6915" width="14" style="36" customWidth="1"/>
    <col min="6916" max="6916" width="29.28515625" style="36" customWidth="1"/>
    <col min="6917" max="6917" width="10.5703125" style="36" customWidth="1"/>
    <col min="6918" max="6918" width="6.42578125" style="36" bestFit="1" customWidth="1"/>
    <col min="6919" max="6919" width="7.7109375" style="36" customWidth="1"/>
    <col min="6920" max="6920" width="8" style="36" customWidth="1"/>
    <col min="6921" max="6921" width="17.7109375" style="36" customWidth="1"/>
    <col min="6922" max="6922" width="4.28515625" style="36" bestFit="1" customWidth="1"/>
    <col min="6923" max="6925" width="11.42578125" style="36"/>
    <col min="6926" max="6926" width="11.5703125" style="36" bestFit="1" customWidth="1"/>
    <col min="6927" max="6928" width="11.42578125" style="36"/>
    <col min="6929" max="6929" width="34.42578125" style="36" customWidth="1"/>
    <col min="6930" max="6932" width="11.42578125" style="36"/>
    <col min="6933" max="6933" width="10" style="36" customWidth="1"/>
    <col min="6934" max="7168" width="11.42578125" style="36"/>
    <col min="7169" max="7169" width="4" style="36" customWidth="1"/>
    <col min="7170" max="7170" width="29.5703125" style="36" bestFit="1" customWidth="1"/>
    <col min="7171" max="7171" width="14" style="36" customWidth="1"/>
    <col min="7172" max="7172" width="29.28515625" style="36" customWidth="1"/>
    <col min="7173" max="7173" width="10.5703125" style="36" customWidth="1"/>
    <col min="7174" max="7174" width="6.42578125" style="36" bestFit="1" customWidth="1"/>
    <col min="7175" max="7175" width="7.7109375" style="36" customWidth="1"/>
    <col min="7176" max="7176" width="8" style="36" customWidth="1"/>
    <col min="7177" max="7177" width="17.7109375" style="36" customWidth="1"/>
    <col min="7178" max="7178" width="4.28515625" style="36" bestFit="1" customWidth="1"/>
    <col min="7179" max="7181" width="11.42578125" style="36"/>
    <col min="7182" max="7182" width="11.5703125" style="36" bestFit="1" customWidth="1"/>
    <col min="7183" max="7184" width="11.42578125" style="36"/>
    <col min="7185" max="7185" width="34.42578125" style="36" customWidth="1"/>
    <col min="7186" max="7188" width="11.42578125" style="36"/>
    <col min="7189" max="7189" width="10" style="36" customWidth="1"/>
    <col min="7190" max="7424" width="11.42578125" style="36"/>
    <col min="7425" max="7425" width="4" style="36" customWidth="1"/>
    <col min="7426" max="7426" width="29.5703125" style="36" bestFit="1" customWidth="1"/>
    <col min="7427" max="7427" width="14" style="36" customWidth="1"/>
    <col min="7428" max="7428" width="29.28515625" style="36" customWidth="1"/>
    <col min="7429" max="7429" width="10.5703125" style="36" customWidth="1"/>
    <col min="7430" max="7430" width="6.42578125" style="36" bestFit="1" customWidth="1"/>
    <col min="7431" max="7431" width="7.7109375" style="36" customWidth="1"/>
    <col min="7432" max="7432" width="8" style="36" customWidth="1"/>
    <col min="7433" max="7433" width="17.7109375" style="36" customWidth="1"/>
    <col min="7434" max="7434" width="4.28515625" style="36" bestFit="1" customWidth="1"/>
    <col min="7435" max="7437" width="11.42578125" style="36"/>
    <col min="7438" max="7438" width="11.5703125" style="36" bestFit="1" customWidth="1"/>
    <col min="7439" max="7440" width="11.42578125" style="36"/>
    <col min="7441" max="7441" width="34.42578125" style="36" customWidth="1"/>
    <col min="7442" max="7444" width="11.42578125" style="36"/>
    <col min="7445" max="7445" width="10" style="36" customWidth="1"/>
    <col min="7446" max="7680" width="11.42578125" style="36"/>
    <col min="7681" max="7681" width="4" style="36" customWidth="1"/>
    <col min="7682" max="7682" width="29.5703125" style="36" bestFit="1" customWidth="1"/>
    <col min="7683" max="7683" width="14" style="36" customWidth="1"/>
    <col min="7684" max="7684" width="29.28515625" style="36" customWidth="1"/>
    <col min="7685" max="7685" width="10.5703125" style="36" customWidth="1"/>
    <col min="7686" max="7686" width="6.42578125" style="36" bestFit="1" customWidth="1"/>
    <col min="7687" max="7687" width="7.7109375" style="36" customWidth="1"/>
    <col min="7688" max="7688" width="8" style="36" customWidth="1"/>
    <col min="7689" max="7689" width="17.7109375" style="36" customWidth="1"/>
    <col min="7690" max="7690" width="4.28515625" style="36" bestFit="1" customWidth="1"/>
    <col min="7691" max="7693" width="11.42578125" style="36"/>
    <col min="7694" max="7694" width="11.5703125" style="36" bestFit="1" customWidth="1"/>
    <col min="7695" max="7696" width="11.42578125" style="36"/>
    <col min="7697" max="7697" width="34.42578125" style="36" customWidth="1"/>
    <col min="7698" max="7700" width="11.42578125" style="36"/>
    <col min="7701" max="7701" width="10" style="36" customWidth="1"/>
    <col min="7702" max="7936" width="11.42578125" style="36"/>
    <col min="7937" max="7937" width="4" style="36" customWidth="1"/>
    <col min="7938" max="7938" width="29.5703125" style="36" bestFit="1" customWidth="1"/>
    <col min="7939" max="7939" width="14" style="36" customWidth="1"/>
    <col min="7940" max="7940" width="29.28515625" style="36" customWidth="1"/>
    <col min="7941" max="7941" width="10.5703125" style="36" customWidth="1"/>
    <col min="7942" max="7942" width="6.42578125" style="36" bestFit="1" customWidth="1"/>
    <col min="7943" max="7943" width="7.7109375" style="36" customWidth="1"/>
    <col min="7944" max="7944" width="8" style="36" customWidth="1"/>
    <col min="7945" max="7945" width="17.7109375" style="36" customWidth="1"/>
    <col min="7946" max="7946" width="4.28515625" style="36" bestFit="1" customWidth="1"/>
    <col min="7947" max="7949" width="11.42578125" style="36"/>
    <col min="7950" max="7950" width="11.5703125" style="36" bestFit="1" customWidth="1"/>
    <col min="7951" max="7952" width="11.42578125" style="36"/>
    <col min="7953" max="7953" width="34.42578125" style="36" customWidth="1"/>
    <col min="7954" max="7956" width="11.42578125" style="36"/>
    <col min="7957" max="7957" width="10" style="36" customWidth="1"/>
    <col min="7958" max="8192" width="11.42578125" style="36"/>
    <col min="8193" max="8193" width="4" style="36" customWidth="1"/>
    <col min="8194" max="8194" width="29.5703125" style="36" bestFit="1" customWidth="1"/>
    <col min="8195" max="8195" width="14" style="36" customWidth="1"/>
    <col min="8196" max="8196" width="29.28515625" style="36" customWidth="1"/>
    <col min="8197" max="8197" width="10.5703125" style="36" customWidth="1"/>
    <col min="8198" max="8198" width="6.42578125" style="36" bestFit="1" customWidth="1"/>
    <col min="8199" max="8199" width="7.7109375" style="36" customWidth="1"/>
    <col min="8200" max="8200" width="8" style="36" customWidth="1"/>
    <col min="8201" max="8201" width="17.7109375" style="36" customWidth="1"/>
    <col min="8202" max="8202" width="4.28515625" style="36" bestFit="1" customWidth="1"/>
    <col min="8203" max="8205" width="11.42578125" style="36"/>
    <col min="8206" max="8206" width="11.5703125" style="36" bestFit="1" customWidth="1"/>
    <col min="8207" max="8208" width="11.42578125" style="36"/>
    <col min="8209" max="8209" width="34.42578125" style="36" customWidth="1"/>
    <col min="8210" max="8212" width="11.42578125" style="36"/>
    <col min="8213" max="8213" width="10" style="36" customWidth="1"/>
    <col min="8214" max="8448" width="11.42578125" style="36"/>
    <col min="8449" max="8449" width="4" style="36" customWidth="1"/>
    <col min="8450" max="8450" width="29.5703125" style="36" bestFit="1" customWidth="1"/>
    <col min="8451" max="8451" width="14" style="36" customWidth="1"/>
    <col min="8452" max="8452" width="29.28515625" style="36" customWidth="1"/>
    <col min="8453" max="8453" width="10.5703125" style="36" customWidth="1"/>
    <col min="8454" max="8454" width="6.42578125" style="36" bestFit="1" customWidth="1"/>
    <col min="8455" max="8455" width="7.7109375" style="36" customWidth="1"/>
    <col min="8456" max="8456" width="8" style="36" customWidth="1"/>
    <col min="8457" max="8457" width="17.7109375" style="36" customWidth="1"/>
    <col min="8458" max="8458" width="4.28515625" style="36" bestFit="1" customWidth="1"/>
    <col min="8459" max="8461" width="11.42578125" style="36"/>
    <col min="8462" max="8462" width="11.5703125" style="36" bestFit="1" customWidth="1"/>
    <col min="8463" max="8464" width="11.42578125" style="36"/>
    <col min="8465" max="8465" width="34.42578125" style="36" customWidth="1"/>
    <col min="8466" max="8468" width="11.42578125" style="36"/>
    <col min="8469" max="8469" width="10" style="36" customWidth="1"/>
    <col min="8470" max="8704" width="11.42578125" style="36"/>
    <col min="8705" max="8705" width="4" style="36" customWidth="1"/>
    <col min="8706" max="8706" width="29.5703125" style="36" bestFit="1" customWidth="1"/>
    <col min="8707" max="8707" width="14" style="36" customWidth="1"/>
    <col min="8708" max="8708" width="29.28515625" style="36" customWidth="1"/>
    <col min="8709" max="8709" width="10.5703125" style="36" customWidth="1"/>
    <col min="8710" max="8710" width="6.42578125" style="36" bestFit="1" customWidth="1"/>
    <col min="8711" max="8711" width="7.7109375" style="36" customWidth="1"/>
    <col min="8712" max="8712" width="8" style="36" customWidth="1"/>
    <col min="8713" max="8713" width="17.7109375" style="36" customWidth="1"/>
    <col min="8714" max="8714" width="4.28515625" style="36" bestFit="1" customWidth="1"/>
    <col min="8715" max="8717" width="11.42578125" style="36"/>
    <col min="8718" max="8718" width="11.5703125" style="36" bestFit="1" customWidth="1"/>
    <col min="8719" max="8720" width="11.42578125" style="36"/>
    <col min="8721" max="8721" width="34.42578125" style="36" customWidth="1"/>
    <col min="8722" max="8724" width="11.42578125" style="36"/>
    <col min="8725" max="8725" width="10" style="36" customWidth="1"/>
    <col min="8726" max="8960" width="11.42578125" style="36"/>
    <col min="8961" max="8961" width="4" style="36" customWidth="1"/>
    <col min="8962" max="8962" width="29.5703125" style="36" bestFit="1" customWidth="1"/>
    <col min="8963" max="8963" width="14" style="36" customWidth="1"/>
    <col min="8964" max="8964" width="29.28515625" style="36" customWidth="1"/>
    <col min="8965" max="8965" width="10.5703125" style="36" customWidth="1"/>
    <col min="8966" max="8966" width="6.42578125" style="36" bestFit="1" customWidth="1"/>
    <col min="8967" max="8967" width="7.7109375" style="36" customWidth="1"/>
    <col min="8968" max="8968" width="8" style="36" customWidth="1"/>
    <col min="8969" max="8969" width="17.7109375" style="36" customWidth="1"/>
    <col min="8970" max="8970" width="4.28515625" style="36" bestFit="1" customWidth="1"/>
    <col min="8971" max="8973" width="11.42578125" style="36"/>
    <col min="8974" max="8974" width="11.5703125" style="36" bestFit="1" customWidth="1"/>
    <col min="8975" max="8976" width="11.42578125" style="36"/>
    <col min="8977" max="8977" width="34.42578125" style="36" customWidth="1"/>
    <col min="8978" max="8980" width="11.42578125" style="36"/>
    <col min="8981" max="8981" width="10" style="36" customWidth="1"/>
    <col min="8982" max="9216" width="11.42578125" style="36"/>
    <col min="9217" max="9217" width="4" style="36" customWidth="1"/>
    <col min="9218" max="9218" width="29.5703125" style="36" bestFit="1" customWidth="1"/>
    <col min="9219" max="9219" width="14" style="36" customWidth="1"/>
    <col min="9220" max="9220" width="29.28515625" style="36" customWidth="1"/>
    <col min="9221" max="9221" width="10.5703125" style="36" customWidth="1"/>
    <col min="9222" max="9222" width="6.42578125" style="36" bestFit="1" customWidth="1"/>
    <col min="9223" max="9223" width="7.7109375" style="36" customWidth="1"/>
    <col min="9224" max="9224" width="8" style="36" customWidth="1"/>
    <col min="9225" max="9225" width="17.7109375" style="36" customWidth="1"/>
    <col min="9226" max="9226" width="4.28515625" style="36" bestFit="1" customWidth="1"/>
    <col min="9227" max="9229" width="11.42578125" style="36"/>
    <col min="9230" max="9230" width="11.5703125" style="36" bestFit="1" customWidth="1"/>
    <col min="9231" max="9232" width="11.42578125" style="36"/>
    <col min="9233" max="9233" width="34.42578125" style="36" customWidth="1"/>
    <col min="9234" max="9236" width="11.42578125" style="36"/>
    <col min="9237" max="9237" width="10" style="36" customWidth="1"/>
    <col min="9238" max="9472" width="11.42578125" style="36"/>
    <col min="9473" max="9473" width="4" style="36" customWidth="1"/>
    <col min="9474" max="9474" width="29.5703125" style="36" bestFit="1" customWidth="1"/>
    <col min="9475" max="9475" width="14" style="36" customWidth="1"/>
    <col min="9476" max="9476" width="29.28515625" style="36" customWidth="1"/>
    <col min="9477" max="9477" width="10.5703125" style="36" customWidth="1"/>
    <col min="9478" max="9478" width="6.42578125" style="36" bestFit="1" customWidth="1"/>
    <col min="9479" max="9479" width="7.7109375" style="36" customWidth="1"/>
    <col min="9480" max="9480" width="8" style="36" customWidth="1"/>
    <col min="9481" max="9481" width="17.7109375" style="36" customWidth="1"/>
    <col min="9482" max="9482" width="4.28515625" style="36" bestFit="1" customWidth="1"/>
    <col min="9483" max="9485" width="11.42578125" style="36"/>
    <col min="9486" max="9486" width="11.5703125" style="36" bestFit="1" customWidth="1"/>
    <col min="9487" max="9488" width="11.42578125" style="36"/>
    <col min="9489" max="9489" width="34.42578125" style="36" customWidth="1"/>
    <col min="9490" max="9492" width="11.42578125" style="36"/>
    <col min="9493" max="9493" width="10" style="36" customWidth="1"/>
    <col min="9494" max="9728" width="11.42578125" style="36"/>
    <col min="9729" max="9729" width="4" style="36" customWidth="1"/>
    <col min="9730" max="9730" width="29.5703125" style="36" bestFit="1" customWidth="1"/>
    <col min="9731" max="9731" width="14" style="36" customWidth="1"/>
    <col min="9732" max="9732" width="29.28515625" style="36" customWidth="1"/>
    <col min="9733" max="9733" width="10.5703125" style="36" customWidth="1"/>
    <col min="9734" max="9734" width="6.42578125" style="36" bestFit="1" customWidth="1"/>
    <col min="9735" max="9735" width="7.7109375" style="36" customWidth="1"/>
    <col min="9736" max="9736" width="8" style="36" customWidth="1"/>
    <col min="9737" max="9737" width="17.7109375" style="36" customWidth="1"/>
    <col min="9738" max="9738" width="4.28515625" style="36" bestFit="1" customWidth="1"/>
    <col min="9739" max="9741" width="11.42578125" style="36"/>
    <col min="9742" max="9742" width="11.5703125" style="36" bestFit="1" customWidth="1"/>
    <col min="9743" max="9744" width="11.42578125" style="36"/>
    <col min="9745" max="9745" width="34.42578125" style="36" customWidth="1"/>
    <col min="9746" max="9748" width="11.42578125" style="36"/>
    <col min="9749" max="9749" width="10" style="36" customWidth="1"/>
    <col min="9750" max="9984" width="11.42578125" style="36"/>
    <col min="9985" max="9985" width="4" style="36" customWidth="1"/>
    <col min="9986" max="9986" width="29.5703125" style="36" bestFit="1" customWidth="1"/>
    <col min="9987" max="9987" width="14" style="36" customWidth="1"/>
    <col min="9988" max="9988" width="29.28515625" style="36" customWidth="1"/>
    <col min="9989" max="9989" width="10.5703125" style="36" customWidth="1"/>
    <col min="9990" max="9990" width="6.42578125" style="36" bestFit="1" customWidth="1"/>
    <col min="9991" max="9991" width="7.7109375" style="36" customWidth="1"/>
    <col min="9992" max="9992" width="8" style="36" customWidth="1"/>
    <col min="9993" max="9993" width="17.7109375" style="36" customWidth="1"/>
    <col min="9994" max="9994" width="4.28515625" style="36" bestFit="1" customWidth="1"/>
    <col min="9995" max="9997" width="11.42578125" style="36"/>
    <col min="9998" max="9998" width="11.5703125" style="36" bestFit="1" customWidth="1"/>
    <col min="9999" max="10000" width="11.42578125" style="36"/>
    <col min="10001" max="10001" width="34.42578125" style="36" customWidth="1"/>
    <col min="10002" max="10004" width="11.42578125" style="36"/>
    <col min="10005" max="10005" width="10" style="36" customWidth="1"/>
    <col min="10006" max="10240" width="11.42578125" style="36"/>
    <col min="10241" max="10241" width="4" style="36" customWidth="1"/>
    <col min="10242" max="10242" width="29.5703125" style="36" bestFit="1" customWidth="1"/>
    <col min="10243" max="10243" width="14" style="36" customWidth="1"/>
    <col min="10244" max="10244" width="29.28515625" style="36" customWidth="1"/>
    <col min="10245" max="10245" width="10.5703125" style="36" customWidth="1"/>
    <col min="10246" max="10246" width="6.42578125" style="36" bestFit="1" customWidth="1"/>
    <col min="10247" max="10247" width="7.7109375" style="36" customWidth="1"/>
    <col min="10248" max="10248" width="8" style="36" customWidth="1"/>
    <col min="10249" max="10249" width="17.7109375" style="36" customWidth="1"/>
    <col min="10250" max="10250" width="4.28515625" style="36" bestFit="1" customWidth="1"/>
    <col min="10251" max="10253" width="11.42578125" style="36"/>
    <col min="10254" max="10254" width="11.5703125" style="36" bestFit="1" customWidth="1"/>
    <col min="10255" max="10256" width="11.42578125" style="36"/>
    <col min="10257" max="10257" width="34.42578125" style="36" customWidth="1"/>
    <col min="10258" max="10260" width="11.42578125" style="36"/>
    <col min="10261" max="10261" width="10" style="36" customWidth="1"/>
    <col min="10262" max="10496" width="11.42578125" style="36"/>
    <col min="10497" max="10497" width="4" style="36" customWidth="1"/>
    <col min="10498" max="10498" width="29.5703125" style="36" bestFit="1" customWidth="1"/>
    <col min="10499" max="10499" width="14" style="36" customWidth="1"/>
    <col min="10500" max="10500" width="29.28515625" style="36" customWidth="1"/>
    <col min="10501" max="10501" width="10.5703125" style="36" customWidth="1"/>
    <col min="10502" max="10502" width="6.42578125" style="36" bestFit="1" customWidth="1"/>
    <col min="10503" max="10503" width="7.7109375" style="36" customWidth="1"/>
    <col min="10504" max="10504" width="8" style="36" customWidth="1"/>
    <col min="10505" max="10505" width="17.7109375" style="36" customWidth="1"/>
    <col min="10506" max="10506" width="4.28515625" style="36" bestFit="1" customWidth="1"/>
    <col min="10507" max="10509" width="11.42578125" style="36"/>
    <col min="10510" max="10510" width="11.5703125" style="36" bestFit="1" customWidth="1"/>
    <col min="10511" max="10512" width="11.42578125" style="36"/>
    <col min="10513" max="10513" width="34.42578125" style="36" customWidth="1"/>
    <col min="10514" max="10516" width="11.42578125" style="36"/>
    <col min="10517" max="10517" width="10" style="36" customWidth="1"/>
    <col min="10518" max="10752" width="11.42578125" style="36"/>
    <col min="10753" max="10753" width="4" style="36" customWidth="1"/>
    <col min="10754" max="10754" width="29.5703125" style="36" bestFit="1" customWidth="1"/>
    <col min="10755" max="10755" width="14" style="36" customWidth="1"/>
    <col min="10756" max="10756" width="29.28515625" style="36" customWidth="1"/>
    <col min="10757" max="10757" width="10.5703125" style="36" customWidth="1"/>
    <col min="10758" max="10758" width="6.42578125" style="36" bestFit="1" customWidth="1"/>
    <col min="10759" max="10759" width="7.7109375" style="36" customWidth="1"/>
    <col min="10760" max="10760" width="8" style="36" customWidth="1"/>
    <col min="10761" max="10761" width="17.7109375" style="36" customWidth="1"/>
    <col min="10762" max="10762" width="4.28515625" style="36" bestFit="1" customWidth="1"/>
    <col min="10763" max="10765" width="11.42578125" style="36"/>
    <col min="10766" max="10766" width="11.5703125" style="36" bestFit="1" customWidth="1"/>
    <col min="10767" max="10768" width="11.42578125" style="36"/>
    <col min="10769" max="10769" width="34.42578125" style="36" customWidth="1"/>
    <col min="10770" max="10772" width="11.42578125" style="36"/>
    <col min="10773" max="10773" width="10" style="36" customWidth="1"/>
    <col min="10774" max="11008" width="11.42578125" style="36"/>
    <col min="11009" max="11009" width="4" style="36" customWidth="1"/>
    <col min="11010" max="11010" width="29.5703125" style="36" bestFit="1" customWidth="1"/>
    <col min="11011" max="11011" width="14" style="36" customWidth="1"/>
    <col min="11012" max="11012" width="29.28515625" style="36" customWidth="1"/>
    <col min="11013" max="11013" width="10.5703125" style="36" customWidth="1"/>
    <col min="11014" max="11014" width="6.42578125" style="36" bestFit="1" customWidth="1"/>
    <col min="11015" max="11015" width="7.7109375" style="36" customWidth="1"/>
    <col min="11016" max="11016" width="8" style="36" customWidth="1"/>
    <col min="11017" max="11017" width="17.7109375" style="36" customWidth="1"/>
    <col min="11018" max="11018" width="4.28515625" style="36" bestFit="1" customWidth="1"/>
    <col min="11019" max="11021" width="11.42578125" style="36"/>
    <col min="11022" max="11022" width="11.5703125" style="36" bestFit="1" customWidth="1"/>
    <col min="11023" max="11024" width="11.42578125" style="36"/>
    <col min="11025" max="11025" width="34.42578125" style="36" customWidth="1"/>
    <col min="11026" max="11028" width="11.42578125" style="36"/>
    <col min="11029" max="11029" width="10" style="36" customWidth="1"/>
    <col min="11030" max="11264" width="11.42578125" style="36"/>
    <col min="11265" max="11265" width="4" style="36" customWidth="1"/>
    <col min="11266" max="11266" width="29.5703125" style="36" bestFit="1" customWidth="1"/>
    <col min="11267" max="11267" width="14" style="36" customWidth="1"/>
    <col min="11268" max="11268" width="29.28515625" style="36" customWidth="1"/>
    <col min="11269" max="11269" width="10.5703125" style="36" customWidth="1"/>
    <col min="11270" max="11270" width="6.42578125" style="36" bestFit="1" customWidth="1"/>
    <col min="11271" max="11271" width="7.7109375" style="36" customWidth="1"/>
    <col min="11272" max="11272" width="8" style="36" customWidth="1"/>
    <col min="11273" max="11273" width="17.7109375" style="36" customWidth="1"/>
    <col min="11274" max="11274" width="4.28515625" style="36" bestFit="1" customWidth="1"/>
    <col min="11275" max="11277" width="11.42578125" style="36"/>
    <col min="11278" max="11278" width="11.5703125" style="36" bestFit="1" customWidth="1"/>
    <col min="11279" max="11280" width="11.42578125" style="36"/>
    <col min="11281" max="11281" width="34.42578125" style="36" customWidth="1"/>
    <col min="11282" max="11284" width="11.42578125" style="36"/>
    <col min="11285" max="11285" width="10" style="36" customWidth="1"/>
    <col min="11286" max="11520" width="11.42578125" style="36"/>
    <col min="11521" max="11521" width="4" style="36" customWidth="1"/>
    <col min="11522" max="11522" width="29.5703125" style="36" bestFit="1" customWidth="1"/>
    <col min="11523" max="11523" width="14" style="36" customWidth="1"/>
    <col min="11524" max="11524" width="29.28515625" style="36" customWidth="1"/>
    <col min="11525" max="11525" width="10.5703125" style="36" customWidth="1"/>
    <col min="11526" max="11526" width="6.42578125" style="36" bestFit="1" customWidth="1"/>
    <col min="11527" max="11527" width="7.7109375" style="36" customWidth="1"/>
    <col min="11528" max="11528" width="8" style="36" customWidth="1"/>
    <col min="11529" max="11529" width="17.7109375" style="36" customWidth="1"/>
    <col min="11530" max="11530" width="4.28515625" style="36" bestFit="1" customWidth="1"/>
    <col min="11531" max="11533" width="11.42578125" style="36"/>
    <col min="11534" max="11534" width="11.5703125" style="36" bestFit="1" customWidth="1"/>
    <col min="11535" max="11536" width="11.42578125" style="36"/>
    <col min="11537" max="11537" width="34.42578125" style="36" customWidth="1"/>
    <col min="11538" max="11540" width="11.42578125" style="36"/>
    <col min="11541" max="11541" width="10" style="36" customWidth="1"/>
    <col min="11542" max="11776" width="11.42578125" style="36"/>
    <col min="11777" max="11777" width="4" style="36" customWidth="1"/>
    <col min="11778" max="11778" width="29.5703125" style="36" bestFit="1" customWidth="1"/>
    <col min="11779" max="11779" width="14" style="36" customWidth="1"/>
    <col min="11780" max="11780" width="29.28515625" style="36" customWidth="1"/>
    <col min="11781" max="11781" width="10.5703125" style="36" customWidth="1"/>
    <col min="11782" max="11782" width="6.42578125" style="36" bestFit="1" customWidth="1"/>
    <col min="11783" max="11783" width="7.7109375" style="36" customWidth="1"/>
    <col min="11784" max="11784" width="8" style="36" customWidth="1"/>
    <col min="11785" max="11785" width="17.7109375" style="36" customWidth="1"/>
    <col min="11786" max="11786" width="4.28515625" style="36" bestFit="1" customWidth="1"/>
    <col min="11787" max="11789" width="11.42578125" style="36"/>
    <col min="11790" max="11790" width="11.5703125" style="36" bestFit="1" customWidth="1"/>
    <col min="11791" max="11792" width="11.42578125" style="36"/>
    <col min="11793" max="11793" width="34.42578125" style="36" customWidth="1"/>
    <col min="11794" max="11796" width="11.42578125" style="36"/>
    <col min="11797" max="11797" width="10" style="36" customWidth="1"/>
    <col min="11798" max="12032" width="11.42578125" style="36"/>
    <col min="12033" max="12033" width="4" style="36" customWidth="1"/>
    <col min="12034" max="12034" width="29.5703125" style="36" bestFit="1" customWidth="1"/>
    <col min="12035" max="12035" width="14" style="36" customWidth="1"/>
    <col min="12036" max="12036" width="29.28515625" style="36" customWidth="1"/>
    <col min="12037" max="12037" width="10.5703125" style="36" customWidth="1"/>
    <col min="12038" max="12038" width="6.42578125" style="36" bestFit="1" customWidth="1"/>
    <col min="12039" max="12039" width="7.7109375" style="36" customWidth="1"/>
    <col min="12040" max="12040" width="8" style="36" customWidth="1"/>
    <col min="12041" max="12041" width="17.7109375" style="36" customWidth="1"/>
    <col min="12042" max="12042" width="4.28515625" style="36" bestFit="1" customWidth="1"/>
    <col min="12043" max="12045" width="11.42578125" style="36"/>
    <col min="12046" max="12046" width="11.5703125" style="36" bestFit="1" customWidth="1"/>
    <col min="12047" max="12048" width="11.42578125" style="36"/>
    <col min="12049" max="12049" width="34.42578125" style="36" customWidth="1"/>
    <col min="12050" max="12052" width="11.42578125" style="36"/>
    <col min="12053" max="12053" width="10" style="36" customWidth="1"/>
    <col min="12054" max="12288" width="11.42578125" style="36"/>
    <col min="12289" max="12289" width="4" style="36" customWidth="1"/>
    <col min="12290" max="12290" width="29.5703125" style="36" bestFit="1" customWidth="1"/>
    <col min="12291" max="12291" width="14" style="36" customWidth="1"/>
    <col min="12292" max="12292" width="29.28515625" style="36" customWidth="1"/>
    <col min="12293" max="12293" width="10.5703125" style="36" customWidth="1"/>
    <col min="12294" max="12294" width="6.42578125" style="36" bestFit="1" customWidth="1"/>
    <col min="12295" max="12295" width="7.7109375" style="36" customWidth="1"/>
    <col min="12296" max="12296" width="8" style="36" customWidth="1"/>
    <col min="12297" max="12297" width="17.7109375" style="36" customWidth="1"/>
    <col min="12298" max="12298" width="4.28515625" style="36" bestFit="1" customWidth="1"/>
    <col min="12299" max="12301" width="11.42578125" style="36"/>
    <col min="12302" max="12302" width="11.5703125" style="36" bestFit="1" customWidth="1"/>
    <col min="12303" max="12304" width="11.42578125" style="36"/>
    <col min="12305" max="12305" width="34.42578125" style="36" customWidth="1"/>
    <col min="12306" max="12308" width="11.42578125" style="36"/>
    <col min="12309" max="12309" width="10" style="36" customWidth="1"/>
    <col min="12310" max="12544" width="11.42578125" style="36"/>
    <col min="12545" max="12545" width="4" style="36" customWidth="1"/>
    <col min="12546" max="12546" width="29.5703125" style="36" bestFit="1" customWidth="1"/>
    <col min="12547" max="12547" width="14" style="36" customWidth="1"/>
    <col min="12548" max="12548" width="29.28515625" style="36" customWidth="1"/>
    <col min="12549" max="12549" width="10.5703125" style="36" customWidth="1"/>
    <col min="12550" max="12550" width="6.42578125" style="36" bestFit="1" customWidth="1"/>
    <col min="12551" max="12551" width="7.7109375" style="36" customWidth="1"/>
    <col min="12552" max="12552" width="8" style="36" customWidth="1"/>
    <col min="12553" max="12553" width="17.7109375" style="36" customWidth="1"/>
    <col min="12554" max="12554" width="4.28515625" style="36" bestFit="1" customWidth="1"/>
    <col min="12555" max="12557" width="11.42578125" style="36"/>
    <col min="12558" max="12558" width="11.5703125" style="36" bestFit="1" customWidth="1"/>
    <col min="12559" max="12560" width="11.42578125" style="36"/>
    <col min="12561" max="12561" width="34.42578125" style="36" customWidth="1"/>
    <col min="12562" max="12564" width="11.42578125" style="36"/>
    <col min="12565" max="12565" width="10" style="36" customWidth="1"/>
    <col min="12566" max="12800" width="11.42578125" style="36"/>
    <col min="12801" max="12801" width="4" style="36" customWidth="1"/>
    <col min="12802" max="12802" width="29.5703125" style="36" bestFit="1" customWidth="1"/>
    <col min="12803" max="12803" width="14" style="36" customWidth="1"/>
    <col min="12804" max="12804" width="29.28515625" style="36" customWidth="1"/>
    <col min="12805" max="12805" width="10.5703125" style="36" customWidth="1"/>
    <col min="12806" max="12806" width="6.42578125" style="36" bestFit="1" customWidth="1"/>
    <col min="12807" max="12807" width="7.7109375" style="36" customWidth="1"/>
    <col min="12808" max="12808" width="8" style="36" customWidth="1"/>
    <col min="12809" max="12809" width="17.7109375" style="36" customWidth="1"/>
    <col min="12810" max="12810" width="4.28515625" style="36" bestFit="1" customWidth="1"/>
    <col min="12811" max="12813" width="11.42578125" style="36"/>
    <col min="12814" max="12814" width="11.5703125" style="36" bestFit="1" customWidth="1"/>
    <col min="12815" max="12816" width="11.42578125" style="36"/>
    <col min="12817" max="12817" width="34.42578125" style="36" customWidth="1"/>
    <col min="12818" max="12820" width="11.42578125" style="36"/>
    <col min="12821" max="12821" width="10" style="36" customWidth="1"/>
    <col min="12822" max="13056" width="11.42578125" style="36"/>
    <col min="13057" max="13057" width="4" style="36" customWidth="1"/>
    <col min="13058" max="13058" width="29.5703125" style="36" bestFit="1" customWidth="1"/>
    <col min="13059" max="13059" width="14" style="36" customWidth="1"/>
    <col min="13060" max="13060" width="29.28515625" style="36" customWidth="1"/>
    <col min="13061" max="13061" width="10.5703125" style="36" customWidth="1"/>
    <col min="13062" max="13062" width="6.42578125" style="36" bestFit="1" customWidth="1"/>
    <col min="13063" max="13063" width="7.7109375" style="36" customWidth="1"/>
    <col min="13064" max="13064" width="8" style="36" customWidth="1"/>
    <col min="13065" max="13065" width="17.7109375" style="36" customWidth="1"/>
    <col min="13066" max="13066" width="4.28515625" style="36" bestFit="1" customWidth="1"/>
    <col min="13067" max="13069" width="11.42578125" style="36"/>
    <col min="13070" max="13070" width="11.5703125" style="36" bestFit="1" customWidth="1"/>
    <col min="13071" max="13072" width="11.42578125" style="36"/>
    <col min="13073" max="13073" width="34.42578125" style="36" customWidth="1"/>
    <col min="13074" max="13076" width="11.42578125" style="36"/>
    <col min="13077" max="13077" width="10" style="36" customWidth="1"/>
    <col min="13078" max="13312" width="11.42578125" style="36"/>
    <col min="13313" max="13313" width="4" style="36" customWidth="1"/>
    <col min="13314" max="13314" width="29.5703125" style="36" bestFit="1" customWidth="1"/>
    <col min="13315" max="13315" width="14" style="36" customWidth="1"/>
    <col min="13316" max="13316" width="29.28515625" style="36" customWidth="1"/>
    <col min="13317" max="13317" width="10.5703125" style="36" customWidth="1"/>
    <col min="13318" max="13318" width="6.42578125" style="36" bestFit="1" customWidth="1"/>
    <col min="13319" max="13319" width="7.7109375" style="36" customWidth="1"/>
    <col min="13320" max="13320" width="8" style="36" customWidth="1"/>
    <col min="13321" max="13321" width="17.7109375" style="36" customWidth="1"/>
    <col min="13322" max="13322" width="4.28515625" style="36" bestFit="1" customWidth="1"/>
    <col min="13323" max="13325" width="11.42578125" style="36"/>
    <col min="13326" max="13326" width="11.5703125" style="36" bestFit="1" customWidth="1"/>
    <col min="13327" max="13328" width="11.42578125" style="36"/>
    <col min="13329" max="13329" width="34.42578125" style="36" customWidth="1"/>
    <col min="13330" max="13332" width="11.42578125" style="36"/>
    <col min="13333" max="13333" width="10" style="36" customWidth="1"/>
    <col min="13334" max="13568" width="11.42578125" style="36"/>
    <col min="13569" max="13569" width="4" style="36" customWidth="1"/>
    <col min="13570" max="13570" width="29.5703125" style="36" bestFit="1" customWidth="1"/>
    <col min="13571" max="13571" width="14" style="36" customWidth="1"/>
    <col min="13572" max="13572" width="29.28515625" style="36" customWidth="1"/>
    <col min="13573" max="13573" width="10.5703125" style="36" customWidth="1"/>
    <col min="13574" max="13574" width="6.42578125" style="36" bestFit="1" customWidth="1"/>
    <col min="13575" max="13575" width="7.7109375" style="36" customWidth="1"/>
    <col min="13576" max="13576" width="8" style="36" customWidth="1"/>
    <col min="13577" max="13577" width="17.7109375" style="36" customWidth="1"/>
    <col min="13578" max="13578" width="4.28515625" style="36" bestFit="1" customWidth="1"/>
    <col min="13579" max="13581" width="11.42578125" style="36"/>
    <col min="13582" max="13582" width="11.5703125" style="36" bestFit="1" customWidth="1"/>
    <col min="13583" max="13584" width="11.42578125" style="36"/>
    <col min="13585" max="13585" width="34.42578125" style="36" customWidth="1"/>
    <col min="13586" max="13588" width="11.42578125" style="36"/>
    <col min="13589" max="13589" width="10" style="36" customWidth="1"/>
    <col min="13590" max="13824" width="11.42578125" style="36"/>
    <col min="13825" max="13825" width="4" style="36" customWidth="1"/>
    <col min="13826" max="13826" width="29.5703125" style="36" bestFit="1" customWidth="1"/>
    <col min="13827" max="13827" width="14" style="36" customWidth="1"/>
    <col min="13828" max="13828" width="29.28515625" style="36" customWidth="1"/>
    <col min="13829" max="13829" width="10.5703125" style="36" customWidth="1"/>
    <col min="13830" max="13830" width="6.42578125" style="36" bestFit="1" customWidth="1"/>
    <col min="13831" max="13831" width="7.7109375" style="36" customWidth="1"/>
    <col min="13832" max="13832" width="8" style="36" customWidth="1"/>
    <col min="13833" max="13833" width="17.7109375" style="36" customWidth="1"/>
    <col min="13834" max="13834" width="4.28515625" style="36" bestFit="1" customWidth="1"/>
    <col min="13835" max="13837" width="11.42578125" style="36"/>
    <col min="13838" max="13838" width="11.5703125" style="36" bestFit="1" customWidth="1"/>
    <col min="13839" max="13840" width="11.42578125" style="36"/>
    <col min="13841" max="13841" width="34.42578125" style="36" customWidth="1"/>
    <col min="13842" max="13844" width="11.42578125" style="36"/>
    <col min="13845" max="13845" width="10" style="36" customWidth="1"/>
    <col min="13846" max="14080" width="11.42578125" style="36"/>
    <col min="14081" max="14081" width="4" style="36" customWidth="1"/>
    <col min="14082" max="14082" width="29.5703125" style="36" bestFit="1" customWidth="1"/>
    <col min="14083" max="14083" width="14" style="36" customWidth="1"/>
    <col min="14084" max="14084" width="29.28515625" style="36" customWidth="1"/>
    <col min="14085" max="14085" width="10.5703125" style="36" customWidth="1"/>
    <col min="14086" max="14086" width="6.42578125" style="36" bestFit="1" customWidth="1"/>
    <col min="14087" max="14087" width="7.7109375" style="36" customWidth="1"/>
    <col min="14088" max="14088" width="8" style="36" customWidth="1"/>
    <col min="14089" max="14089" width="17.7109375" style="36" customWidth="1"/>
    <col min="14090" max="14090" width="4.28515625" style="36" bestFit="1" customWidth="1"/>
    <col min="14091" max="14093" width="11.42578125" style="36"/>
    <col min="14094" max="14094" width="11.5703125" style="36" bestFit="1" customWidth="1"/>
    <col min="14095" max="14096" width="11.42578125" style="36"/>
    <col min="14097" max="14097" width="34.42578125" style="36" customWidth="1"/>
    <col min="14098" max="14100" width="11.42578125" style="36"/>
    <col min="14101" max="14101" width="10" style="36" customWidth="1"/>
    <col min="14102" max="14336" width="11.42578125" style="36"/>
    <col min="14337" max="14337" width="4" style="36" customWidth="1"/>
    <col min="14338" max="14338" width="29.5703125" style="36" bestFit="1" customWidth="1"/>
    <col min="14339" max="14339" width="14" style="36" customWidth="1"/>
    <col min="14340" max="14340" width="29.28515625" style="36" customWidth="1"/>
    <col min="14341" max="14341" width="10.5703125" style="36" customWidth="1"/>
    <col min="14342" max="14342" width="6.42578125" style="36" bestFit="1" customWidth="1"/>
    <col min="14343" max="14343" width="7.7109375" style="36" customWidth="1"/>
    <col min="14344" max="14344" width="8" style="36" customWidth="1"/>
    <col min="14345" max="14345" width="17.7109375" style="36" customWidth="1"/>
    <col min="14346" max="14346" width="4.28515625" style="36" bestFit="1" customWidth="1"/>
    <col min="14347" max="14349" width="11.42578125" style="36"/>
    <col min="14350" max="14350" width="11.5703125" style="36" bestFit="1" customWidth="1"/>
    <col min="14351" max="14352" width="11.42578125" style="36"/>
    <col min="14353" max="14353" width="34.42578125" style="36" customWidth="1"/>
    <col min="14354" max="14356" width="11.42578125" style="36"/>
    <col min="14357" max="14357" width="10" style="36" customWidth="1"/>
    <col min="14358" max="14592" width="11.42578125" style="36"/>
    <col min="14593" max="14593" width="4" style="36" customWidth="1"/>
    <col min="14594" max="14594" width="29.5703125" style="36" bestFit="1" customWidth="1"/>
    <col min="14595" max="14595" width="14" style="36" customWidth="1"/>
    <col min="14596" max="14596" width="29.28515625" style="36" customWidth="1"/>
    <col min="14597" max="14597" width="10.5703125" style="36" customWidth="1"/>
    <col min="14598" max="14598" width="6.42578125" style="36" bestFit="1" customWidth="1"/>
    <col min="14599" max="14599" width="7.7109375" style="36" customWidth="1"/>
    <col min="14600" max="14600" width="8" style="36" customWidth="1"/>
    <col min="14601" max="14601" width="17.7109375" style="36" customWidth="1"/>
    <col min="14602" max="14602" width="4.28515625" style="36" bestFit="1" customWidth="1"/>
    <col min="14603" max="14605" width="11.42578125" style="36"/>
    <col min="14606" max="14606" width="11.5703125" style="36" bestFit="1" customWidth="1"/>
    <col min="14607" max="14608" width="11.42578125" style="36"/>
    <col min="14609" max="14609" width="34.42578125" style="36" customWidth="1"/>
    <col min="14610" max="14612" width="11.42578125" style="36"/>
    <col min="14613" max="14613" width="10" style="36" customWidth="1"/>
    <col min="14614" max="14848" width="11.42578125" style="36"/>
    <col min="14849" max="14849" width="4" style="36" customWidth="1"/>
    <col min="14850" max="14850" width="29.5703125" style="36" bestFit="1" customWidth="1"/>
    <col min="14851" max="14851" width="14" style="36" customWidth="1"/>
    <col min="14852" max="14852" width="29.28515625" style="36" customWidth="1"/>
    <col min="14853" max="14853" width="10.5703125" style="36" customWidth="1"/>
    <col min="14854" max="14854" width="6.42578125" style="36" bestFit="1" customWidth="1"/>
    <col min="14855" max="14855" width="7.7109375" style="36" customWidth="1"/>
    <col min="14856" max="14856" width="8" style="36" customWidth="1"/>
    <col min="14857" max="14857" width="17.7109375" style="36" customWidth="1"/>
    <col min="14858" max="14858" width="4.28515625" style="36" bestFit="1" customWidth="1"/>
    <col min="14859" max="14861" width="11.42578125" style="36"/>
    <col min="14862" max="14862" width="11.5703125" style="36" bestFit="1" customWidth="1"/>
    <col min="14863" max="14864" width="11.42578125" style="36"/>
    <col min="14865" max="14865" width="34.42578125" style="36" customWidth="1"/>
    <col min="14866" max="14868" width="11.42578125" style="36"/>
    <col min="14869" max="14869" width="10" style="36" customWidth="1"/>
    <col min="14870" max="15104" width="11.42578125" style="36"/>
    <col min="15105" max="15105" width="4" style="36" customWidth="1"/>
    <col min="15106" max="15106" width="29.5703125" style="36" bestFit="1" customWidth="1"/>
    <col min="15107" max="15107" width="14" style="36" customWidth="1"/>
    <col min="15108" max="15108" width="29.28515625" style="36" customWidth="1"/>
    <col min="15109" max="15109" width="10.5703125" style="36" customWidth="1"/>
    <col min="15110" max="15110" width="6.42578125" style="36" bestFit="1" customWidth="1"/>
    <col min="15111" max="15111" width="7.7109375" style="36" customWidth="1"/>
    <col min="15112" max="15112" width="8" style="36" customWidth="1"/>
    <col min="15113" max="15113" width="17.7109375" style="36" customWidth="1"/>
    <col min="15114" max="15114" width="4.28515625" style="36" bestFit="1" customWidth="1"/>
    <col min="15115" max="15117" width="11.42578125" style="36"/>
    <col min="15118" max="15118" width="11.5703125" style="36" bestFit="1" customWidth="1"/>
    <col min="15119" max="15120" width="11.42578125" style="36"/>
    <col min="15121" max="15121" width="34.42578125" style="36" customWidth="1"/>
    <col min="15122" max="15124" width="11.42578125" style="36"/>
    <col min="15125" max="15125" width="10" style="36" customWidth="1"/>
    <col min="15126" max="15360" width="11.42578125" style="36"/>
    <col min="15361" max="15361" width="4" style="36" customWidth="1"/>
    <col min="15362" max="15362" width="29.5703125" style="36" bestFit="1" customWidth="1"/>
    <col min="15363" max="15363" width="14" style="36" customWidth="1"/>
    <col min="15364" max="15364" width="29.28515625" style="36" customWidth="1"/>
    <col min="15365" max="15365" width="10.5703125" style="36" customWidth="1"/>
    <col min="15366" max="15366" width="6.42578125" style="36" bestFit="1" customWidth="1"/>
    <col min="15367" max="15367" width="7.7109375" style="36" customWidth="1"/>
    <col min="15368" max="15368" width="8" style="36" customWidth="1"/>
    <col min="15369" max="15369" width="17.7109375" style="36" customWidth="1"/>
    <col min="15370" max="15370" width="4.28515625" style="36" bestFit="1" customWidth="1"/>
    <col min="15371" max="15373" width="11.42578125" style="36"/>
    <col min="15374" max="15374" width="11.5703125" style="36" bestFit="1" customWidth="1"/>
    <col min="15375" max="15376" width="11.42578125" style="36"/>
    <col min="15377" max="15377" width="34.42578125" style="36" customWidth="1"/>
    <col min="15378" max="15380" width="11.42578125" style="36"/>
    <col min="15381" max="15381" width="10" style="36" customWidth="1"/>
    <col min="15382" max="15616" width="11.42578125" style="36"/>
    <col min="15617" max="15617" width="4" style="36" customWidth="1"/>
    <col min="15618" max="15618" width="29.5703125" style="36" bestFit="1" customWidth="1"/>
    <col min="15619" max="15619" width="14" style="36" customWidth="1"/>
    <col min="15620" max="15620" width="29.28515625" style="36" customWidth="1"/>
    <col min="15621" max="15621" width="10.5703125" style="36" customWidth="1"/>
    <col min="15622" max="15622" width="6.42578125" style="36" bestFit="1" customWidth="1"/>
    <col min="15623" max="15623" width="7.7109375" style="36" customWidth="1"/>
    <col min="15624" max="15624" width="8" style="36" customWidth="1"/>
    <col min="15625" max="15625" width="17.7109375" style="36" customWidth="1"/>
    <col min="15626" max="15626" width="4.28515625" style="36" bestFit="1" customWidth="1"/>
    <col min="15627" max="15629" width="11.42578125" style="36"/>
    <col min="15630" max="15630" width="11.5703125" style="36" bestFit="1" customWidth="1"/>
    <col min="15631" max="15632" width="11.42578125" style="36"/>
    <col min="15633" max="15633" width="34.42578125" style="36" customWidth="1"/>
    <col min="15634" max="15636" width="11.42578125" style="36"/>
    <col min="15637" max="15637" width="10" style="36" customWidth="1"/>
    <col min="15638" max="15872" width="11.42578125" style="36"/>
    <col min="15873" max="15873" width="4" style="36" customWidth="1"/>
    <col min="15874" max="15874" width="29.5703125" style="36" bestFit="1" customWidth="1"/>
    <col min="15875" max="15875" width="14" style="36" customWidth="1"/>
    <col min="15876" max="15876" width="29.28515625" style="36" customWidth="1"/>
    <col min="15877" max="15877" width="10.5703125" style="36" customWidth="1"/>
    <col min="15878" max="15878" width="6.42578125" style="36" bestFit="1" customWidth="1"/>
    <col min="15879" max="15879" width="7.7109375" style="36" customWidth="1"/>
    <col min="15880" max="15880" width="8" style="36" customWidth="1"/>
    <col min="15881" max="15881" width="17.7109375" style="36" customWidth="1"/>
    <col min="15882" max="15882" width="4.28515625" style="36" bestFit="1" customWidth="1"/>
    <col min="15883" max="15885" width="11.42578125" style="36"/>
    <col min="15886" max="15886" width="11.5703125" style="36" bestFit="1" customWidth="1"/>
    <col min="15887" max="15888" width="11.42578125" style="36"/>
    <col min="15889" max="15889" width="34.42578125" style="36" customWidth="1"/>
    <col min="15890" max="15892" width="11.42578125" style="36"/>
    <col min="15893" max="15893" width="10" style="36" customWidth="1"/>
    <col min="15894" max="16128" width="11.42578125" style="36"/>
    <col min="16129" max="16129" width="4" style="36" customWidth="1"/>
    <col min="16130" max="16130" width="29.5703125" style="36" bestFit="1" customWidth="1"/>
    <col min="16131" max="16131" width="14" style="36" customWidth="1"/>
    <col min="16132" max="16132" width="29.28515625" style="36" customWidth="1"/>
    <col min="16133" max="16133" width="10.5703125" style="36" customWidth="1"/>
    <col min="16134" max="16134" width="6.42578125" style="36" bestFit="1" customWidth="1"/>
    <col min="16135" max="16135" width="7.7109375" style="36" customWidth="1"/>
    <col min="16136" max="16136" width="8" style="36" customWidth="1"/>
    <col min="16137" max="16137" width="17.7109375" style="36" customWidth="1"/>
    <col min="16138" max="16138" width="4.28515625" style="36" bestFit="1" customWidth="1"/>
    <col min="16139" max="16141" width="11.42578125" style="36"/>
    <col min="16142" max="16142" width="11.5703125" style="36" bestFit="1" customWidth="1"/>
    <col min="16143" max="16144" width="11.42578125" style="36"/>
    <col min="16145" max="16145" width="34.42578125" style="36" customWidth="1"/>
    <col min="16146" max="16148" width="11.42578125" style="36"/>
    <col min="16149" max="16149" width="10" style="36" customWidth="1"/>
    <col min="16150" max="16384" width="11.42578125" style="36"/>
  </cols>
  <sheetData>
    <row r="1" spans="1:17" x14ac:dyDescent="0.2">
      <c r="A1" s="34"/>
      <c r="B1" s="35"/>
      <c r="C1" s="35"/>
      <c r="D1" s="35"/>
      <c r="E1" s="35"/>
      <c r="F1" s="35"/>
      <c r="G1" s="35"/>
      <c r="H1" s="35"/>
      <c r="I1" s="35"/>
      <c r="J1" s="37"/>
    </row>
    <row r="2" spans="1:17" ht="25.5" customHeight="1" x14ac:dyDescent="0.3">
      <c r="A2" s="38"/>
      <c r="C2" s="167" t="s">
        <v>48</v>
      </c>
      <c r="D2" s="167"/>
      <c r="E2" s="167"/>
      <c r="F2" s="167"/>
      <c r="G2" s="167"/>
      <c r="H2" s="167"/>
      <c r="J2" s="39"/>
    </row>
    <row r="3" spans="1:17" ht="21" thickBot="1" x14ac:dyDescent="0.35">
      <c r="A3" s="38"/>
      <c r="H3" s="40"/>
      <c r="I3" s="99"/>
      <c r="J3" s="39"/>
      <c r="K3" s="40"/>
      <c r="L3" s="40"/>
    </row>
    <row r="4" spans="1:17" ht="19.5" customHeight="1" thickBot="1" x14ac:dyDescent="0.35">
      <c r="A4" s="38"/>
      <c r="B4" s="41"/>
      <c r="C4" s="41"/>
      <c r="D4" s="41"/>
      <c r="E4" s="41"/>
      <c r="F4" s="41"/>
      <c r="G4" s="168"/>
      <c r="H4" s="169"/>
      <c r="I4" s="100">
        <f>'Carga de Datos'!G1</f>
        <v>44832</v>
      </c>
      <c r="J4" s="39"/>
    </row>
    <row r="5" spans="1:17" ht="17.25" customHeight="1" thickBot="1" x14ac:dyDescent="0.25">
      <c r="A5" s="38"/>
      <c r="B5" s="42"/>
      <c r="C5" s="41"/>
      <c r="D5" s="42"/>
      <c r="E5" s="42"/>
      <c r="F5" s="41"/>
      <c r="G5" s="41"/>
      <c r="H5" s="42"/>
      <c r="I5" s="43" t="s">
        <v>48</v>
      </c>
      <c r="J5" s="39"/>
    </row>
    <row r="6" spans="1:17" ht="17.25" customHeight="1" thickBot="1" x14ac:dyDescent="0.3">
      <c r="A6" s="38"/>
      <c r="B6" s="97" t="s">
        <v>77</v>
      </c>
      <c r="C6" s="41"/>
      <c r="D6" s="155" t="s">
        <v>49</v>
      </c>
      <c r="E6" s="156"/>
      <c r="F6" s="41"/>
      <c r="G6" s="41"/>
      <c r="H6" s="170" t="s">
        <v>76</v>
      </c>
      <c r="I6" s="156"/>
      <c r="J6" s="39"/>
    </row>
    <row r="7" spans="1:17" s="48" customFormat="1" ht="27" customHeight="1" thickBot="1" x14ac:dyDescent="0.3">
      <c r="A7" s="44"/>
      <c r="B7" s="98" t="s">
        <v>109</v>
      </c>
      <c r="C7" s="45"/>
      <c r="D7" s="157">
        <f>G59</f>
        <v>8.5</v>
      </c>
      <c r="E7" s="171"/>
      <c r="F7" s="46"/>
      <c r="G7" s="45"/>
      <c r="H7" s="157">
        <v>1</v>
      </c>
      <c r="I7" s="171"/>
      <c r="J7" s="47"/>
    </row>
    <row r="8" spans="1:17" s="52" customFormat="1" ht="16.5" customHeight="1" thickBot="1" x14ac:dyDescent="0.3">
      <c r="A8" s="49"/>
      <c r="B8" s="50"/>
      <c r="C8" s="50"/>
      <c r="D8" s="50"/>
      <c r="E8" s="50"/>
      <c r="F8" s="41"/>
      <c r="G8" s="50"/>
      <c r="H8" s="155" t="s">
        <v>75</v>
      </c>
      <c r="I8" s="156"/>
      <c r="J8" s="51"/>
      <c r="N8" s="48"/>
      <c r="Q8" s="36"/>
    </row>
    <row r="9" spans="1:17" s="57" customFormat="1" ht="28.5" customHeight="1" thickBot="1" x14ac:dyDescent="0.25">
      <c r="A9" s="53"/>
      <c r="B9" s="54"/>
      <c r="C9" s="55"/>
      <c r="D9" s="55"/>
      <c r="E9" s="55"/>
      <c r="F9" s="41"/>
      <c r="G9" s="55"/>
      <c r="H9" s="157">
        <v>2</v>
      </c>
      <c r="I9" s="158"/>
      <c r="J9" s="56"/>
    </row>
    <row r="10" spans="1:17" s="52" customFormat="1" ht="13.5" thickBot="1" x14ac:dyDescent="0.25">
      <c r="A10" s="49"/>
      <c r="B10" s="50"/>
      <c r="C10" s="93" t="s">
        <v>50</v>
      </c>
      <c r="D10" s="50"/>
      <c r="E10" s="159" t="s">
        <v>51</v>
      </c>
      <c r="F10" s="160"/>
      <c r="G10" s="50"/>
      <c r="H10" s="58"/>
      <c r="I10" s="50"/>
      <c r="J10" s="51"/>
    </row>
    <row r="11" spans="1:17" s="57" customFormat="1" ht="23.25" customHeight="1" thickBot="1" x14ac:dyDescent="0.3">
      <c r="A11" s="53"/>
      <c r="B11" s="55"/>
      <c r="C11" s="96" t="s">
        <v>52</v>
      </c>
      <c r="D11" s="55"/>
      <c r="E11" s="161" t="s">
        <v>53</v>
      </c>
      <c r="F11" s="162"/>
      <c r="G11" s="55"/>
      <c r="H11" s="55"/>
      <c r="I11" s="55"/>
      <c r="J11" s="56"/>
    </row>
    <row r="12" spans="1:17" s="52" customFormat="1" ht="15" customHeight="1" thickBot="1" x14ac:dyDescent="0.25">
      <c r="A12" s="49"/>
      <c r="B12" s="50"/>
      <c r="C12" s="50"/>
      <c r="D12" s="50"/>
      <c r="E12" s="50"/>
      <c r="F12" s="41"/>
      <c r="G12" s="50"/>
      <c r="H12" s="50"/>
      <c r="I12" s="50"/>
      <c r="J12" s="51"/>
    </row>
    <row r="13" spans="1:17" s="52" customFormat="1" x14ac:dyDescent="0.2">
      <c r="A13" s="49"/>
      <c r="B13" s="59"/>
      <c r="C13" s="41"/>
      <c r="D13" s="163"/>
      <c r="E13" s="164"/>
      <c r="F13" s="165"/>
      <c r="G13" s="41"/>
      <c r="H13" s="166"/>
      <c r="I13" s="165"/>
      <c r="J13" s="51"/>
      <c r="N13" s="60"/>
    </row>
    <row r="14" spans="1:17" s="48" customFormat="1" ht="21.75" customHeight="1" thickBot="1" x14ac:dyDescent="0.3">
      <c r="A14" s="44"/>
      <c r="B14" s="95" t="s">
        <v>72</v>
      </c>
      <c r="C14" s="45"/>
      <c r="D14" s="145">
        <f>I4+1</f>
        <v>44833</v>
      </c>
      <c r="E14" s="146"/>
      <c r="F14" s="147"/>
      <c r="G14" s="45"/>
      <c r="H14" s="148"/>
      <c r="I14" s="149"/>
      <c r="J14" s="47"/>
    </row>
    <row r="15" spans="1:17" ht="16.5" customHeight="1" thickBot="1" x14ac:dyDescent="0.25">
      <c r="A15" s="38" t="s">
        <v>54</v>
      </c>
      <c r="J15" s="39"/>
    </row>
    <row r="16" spans="1:17" ht="26.25" customHeight="1" thickBot="1" x14ac:dyDescent="0.25">
      <c r="A16" s="38"/>
      <c r="B16" s="150"/>
      <c r="C16" s="151"/>
      <c r="D16" s="151"/>
      <c r="E16" s="151"/>
      <c r="F16" s="151"/>
      <c r="G16" s="151"/>
      <c r="H16" s="151"/>
      <c r="I16" s="152"/>
      <c r="J16" s="39"/>
    </row>
    <row r="17" spans="1:10" ht="16.5" thickBot="1" x14ac:dyDescent="0.3">
      <c r="A17" s="38"/>
      <c r="B17" s="61"/>
      <c r="C17" s="62" t="s">
        <v>24</v>
      </c>
      <c r="D17" s="63" t="s">
        <v>55</v>
      </c>
      <c r="E17" s="153" t="s">
        <v>56</v>
      </c>
      <c r="F17" s="153"/>
      <c r="G17" s="153"/>
      <c r="H17" s="153"/>
      <c r="I17" s="154"/>
      <c r="J17" s="39"/>
    </row>
    <row r="18" spans="1:10" ht="24.75" customHeight="1" thickBot="1" x14ac:dyDescent="0.3">
      <c r="A18" s="38"/>
      <c r="B18" s="64" t="s">
        <v>57</v>
      </c>
      <c r="C18" s="65"/>
      <c r="D18" s="66"/>
      <c r="E18" s="132"/>
      <c r="F18" s="132"/>
      <c r="G18" s="132"/>
      <c r="H18" s="133"/>
      <c r="I18" s="134"/>
      <c r="J18" s="39"/>
    </row>
    <row r="19" spans="1:10" ht="24.75" customHeight="1" thickBot="1" x14ac:dyDescent="0.3">
      <c r="A19" s="38"/>
      <c r="B19" s="64" t="s">
        <v>58</v>
      </c>
      <c r="C19" s="65">
        <v>3</v>
      </c>
      <c r="D19" s="66">
        <v>3</v>
      </c>
      <c r="E19" s="132" t="s">
        <v>121</v>
      </c>
      <c r="F19" s="132"/>
      <c r="G19" s="132"/>
      <c r="H19" s="133"/>
      <c r="I19" s="134"/>
      <c r="J19" s="39"/>
    </row>
    <row r="20" spans="1:10" ht="24.75" customHeight="1" thickBot="1" x14ac:dyDescent="0.3">
      <c r="A20" s="38"/>
      <c r="B20" s="64" t="s">
        <v>59</v>
      </c>
      <c r="C20" s="65">
        <v>2</v>
      </c>
      <c r="D20" s="66">
        <v>2</v>
      </c>
      <c r="E20" s="141"/>
      <c r="F20" s="142"/>
      <c r="G20" s="142"/>
      <c r="H20" s="143"/>
      <c r="I20" s="144"/>
      <c r="J20" s="39"/>
    </row>
    <row r="21" spans="1:10" ht="19.5" hidden="1" customHeight="1" thickBot="1" x14ac:dyDescent="0.3">
      <c r="A21" s="38"/>
      <c r="B21" s="64" t="s">
        <v>60</v>
      </c>
      <c r="C21" s="65"/>
      <c r="D21" s="66"/>
      <c r="E21" s="132"/>
      <c r="F21" s="132"/>
      <c r="G21" s="132"/>
      <c r="H21" s="133"/>
      <c r="I21" s="134"/>
      <c r="J21" s="39"/>
    </row>
    <row r="22" spans="1:10" ht="19.5" hidden="1" customHeight="1" thickBot="1" x14ac:dyDescent="0.3">
      <c r="A22" s="38"/>
      <c r="B22" s="64" t="s">
        <v>61</v>
      </c>
      <c r="C22" s="65"/>
      <c r="D22" s="66"/>
      <c r="E22" s="132"/>
      <c r="F22" s="132"/>
      <c r="G22" s="132"/>
      <c r="H22" s="133"/>
      <c r="I22" s="134"/>
      <c r="J22" s="39"/>
    </row>
    <row r="23" spans="1:10" ht="19.5" customHeight="1" thickBot="1" x14ac:dyDescent="0.3">
      <c r="A23" s="38"/>
      <c r="B23" s="64" t="s">
        <v>62</v>
      </c>
      <c r="C23" s="65"/>
      <c r="D23" s="66">
        <v>1</v>
      </c>
      <c r="E23" s="135" t="s">
        <v>122</v>
      </c>
      <c r="F23" s="136"/>
      <c r="G23" s="136"/>
      <c r="H23" s="136"/>
      <c r="I23" s="137"/>
      <c r="J23" s="39"/>
    </row>
    <row r="24" spans="1:10" ht="19.5" customHeight="1" thickBot="1" x14ac:dyDescent="0.3">
      <c r="A24" s="38"/>
      <c r="B24" s="64" t="s">
        <v>63</v>
      </c>
      <c r="C24" s="67"/>
      <c r="D24" s="66"/>
      <c r="E24" s="135"/>
      <c r="F24" s="136"/>
      <c r="G24" s="136"/>
      <c r="H24" s="136"/>
      <c r="I24" s="137"/>
      <c r="J24" s="39"/>
    </row>
    <row r="25" spans="1:10" ht="15" customHeight="1" x14ac:dyDescent="0.2">
      <c r="A25" s="38"/>
      <c r="G25" s="68"/>
      <c r="I25" s="68"/>
      <c r="J25" s="39"/>
    </row>
    <row r="26" spans="1:10" ht="15" customHeight="1" thickBot="1" x14ac:dyDescent="0.3">
      <c r="A26" s="38"/>
      <c r="B26" s="69" t="s">
        <v>64</v>
      </c>
      <c r="C26" s="138" t="s">
        <v>65</v>
      </c>
      <c r="D26" s="138"/>
      <c r="E26" s="70" t="s">
        <v>66</v>
      </c>
      <c r="F26" s="70" t="s">
        <v>67</v>
      </c>
      <c r="G26" s="71" t="s">
        <v>68</v>
      </c>
      <c r="H26" s="72" t="s">
        <v>69</v>
      </c>
      <c r="I26" s="91"/>
      <c r="J26" s="81"/>
    </row>
    <row r="27" spans="1:10" ht="15" customHeight="1" thickBot="1" x14ac:dyDescent="0.25">
      <c r="A27" s="38"/>
      <c r="I27" s="139" t="s">
        <v>110</v>
      </c>
      <c r="J27" s="140"/>
    </row>
    <row r="28" spans="1:10" ht="15" customHeight="1" x14ac:dyDescent="0.25">
      <c r="A28" s="38"/>
      <c r="B28" s="73">
        <v>2281341882</v>
      </c>
      <c r="C28" s="121" t="s">
        <v>112</v>
      </c>
      <c r="D28" s="122"/>
      <c r="E28" s="74" t="s">
        <v>82</v>
      </c>
      <c r="F28" s="74" t="s">
        <v>53</v>
      </c>
      <c r="G28" s="74">
        <v>0.5</v>
      </c>
      <c r="H28" s="74">
        <v>1</v>
      </c>
      <c r="I28" s="92" t="s">
        <v>113</v>
      </c>
      <c r="J28" s="39"/>
    </row>
    <row r="29" spans="1:10" ht="15" customHeight="1" x14ac:dyDescent="0.25">
      <c r="A29" s="38"/>
      <c r="B29" s="76">
        <v>4493831370</v>
      </c>
      <c r="C29" s="121" t="s">
        <v>114</v>
      </c>
      <c r="D29" s="122"/>
      <c r="E29" s="74" t="s">
        <v>82</v>
      </c>
      <c r="F29" s="74" t="s">
        <v>53</v>
      </c>
      <c r="G29" s="74">
        <v>0.5</v>
      </c>
      <c r="H29" s="74">
        <v>1</v>
      </c>
      <c r="I29" s="75" t="s">
        <v>113</v>
      </c>
      <c r="J29" s="39"/>
    </row>
    <row r="30" spans="1:10" ht="15" customHeight="1" x14ac:dyDescent="0.25">
      <c r="A30" s="38"/>
      <c r="B30" s="76">
        <v>5017182785</v>
      </c>
      <c r="C30" s="121" t="s">
        <v>115</v>
      </c>
      <c r="D30" s="122"/>
      <c r="E30" s="74" t="s">
        <v>78</v>
      </c>
      <c r="F30" s="74" t="s">
        <v>116</v>
      </c>
      <c r="G30" s="74">
        <v>1.5</v>
      </c>
      <c r="H30" s="74">
        <v>1</v>
      </c>
      <c r="I30" s="75" t="s">
        <v>117</v>
      </c>
      <c r="J30" s="39"/>
    </row>
    <row r="31" spans="1:10" ht="15" customHeight="1" x14ac:dyDescent="0.25">
      <c r="A31" s="38"/>
      <c r="B31" s="76"/>
      <c r="C31" s="121"/>
      <c r="D31" s="122"/>
      <c r="E31" s="74"/>
      <c r="F31" s="74"/>
      <c r="G31" s="74"/>
      <c r="H31" s="74"/>
      <c r="I31" s="75"/>
      <c r="J31" s="90"/>
    </row>
    <row r="32" spans="1:10" ht="15" customHeight="1" x14ac:dyDescent="0.25">
      <c r="A32" s="38"/>
      <c r="B32" s="76"/>
      <c r="C32" s="121"/>
      <c r="D32" s="122"/>
      <c r="E32" s="74"/>
      <c r="F32" s="74"/>
      <c r="G32" s="74"/>
      <c r="H32" s="74"/>
      <c r="I32" s="75"/>
      <c r="J32" s="39"/>
    </row>
    <row r="33" spans="1:10" ht="15" customHeight="1" x14ac:dyDescent="0.25">
      <c r="A33" s="38"/>
      <c r="B33" s="76"/>
      <c r="C33" s="121"/>
      <c r="D33" s="122"/>
      <c r="E33" s="74"/>
      <c r="F33" s="74"/>
      <c r="G33" s="74"/>
      <c r="H33" s="74"/>
      <c r="I33" s="75"/>
      <c r="J33" s="39"/>
    </row>
    <row r="34" spans="1:10" ht="15" customHeight="1" x14ac:dyDescent="0.25">
      <c r="A34" s="38"/>
      <c r="B34" s="76"/>
      <c r="C34" s="121"/>
      <c r="D34" s="122"/>
      <c r="E34" s="74"/>
      <c r="F34" s="74"/>
      <c r="G34" s="74"/>
      <c r="H34" s="74"/>
      <c r="I34" s="75"/>
      <c r="J34" s="39"/>
    </row>
    <row r="35" spans="1:10" ht="15" customHeight="1" x14ac:dyDescent="0.25">
      <c r="A35" s="38"/>
      <c r="B35" s="76"/>
      <c r="C35" s="123" t="s">
        <v>75</v>
      </c>
      <c r="D35" s="124"/>
      <c r="E35" s="74"/>
      <c r="F35" s="74"/>
      <c r="G35" s="74"/>
      <c r="H35" s="74"/>
      <c r="I35" s="94" t="s">
        <v>111</v>
      </c>
      <c r="J35" s="39"/>
    </row>
    <row r="36" spans="1:10" ht="15" customHeight="1" x14ac:dyDescent="0.25">
      <c r="A36" s="38"/>
      <c r="B36" s="76">
        <v>3648399436</v>
      </c>
      <c r="C36" s="121" t="s">
        <v>118</v>
      </c>
      <c r="D36" s="122"/>
      <c r="E36" s="74" t="s">
        <v>119</v>
      </c>
      <c r="F36" s="74" t="s">
        <v>120</v>
      </c>
      <c r="G36" s="74">
        <v>1</v>
      </c>
      <c r="H36" s="74">
        <v>1</v>
      </c>
      <c r="I36" s="75" t="s">
        <v>117</v>
      </c>
      <c r="J36" s="39"/>
    </row>
    <row r="37" spans="1:10" ht="15" customHeight="1" x14ac:dyDescent="0.25">
      <c r="A37" s="38"/>
      <c r="B37" s="76">
        <v>7661320833</v>
      </c>
      <c r="C37" s="121" t="s">
        <v>118</v>
      </c>
      <c r="D37" s="122"/>
      <c r="E37" s="74" t="s">
        <v>119</v>
      </c>
      <c r="F37" s="74" t="s">
        <v>120</v>
      </c>
      <c r="G37" s="74">
        <v>5</v>
      </c>
      <c r="H37" s="74">
        <v>1</v>
      </c>
      <c r="I37" s="75" t="s">
        <v>117</v>
      </c>
      <c r="J37" s="90"/>
    </row>
    <row r="38" spans="1:10" ht="15" customHeight="1" x14ac:dyDescent="0.25">
      <c r="A38" s="38"/>
      <c r="B38" s="76"/>
      <c r="C38" s="121"/>
      <c r="D38" s="122"/>
      <c r="E38" s="74"/>
      <c r="F38" s="74"/>
      <c r="G38" s="74"/>
      <c r="H38" s="74"/>
      <c r="I38" s="75"/>
      <c r="J38" s="39"/>
    </row>
    <row r="39" spans="1:10" ht="15" customHeight="1" x14ac:dyDescent="0.25">
      <c r="A39" s="38"/>
      <c r="B39" s="76"/>
      <c r="C39" s="121"/>
      <c r="D39" s="122"/>
      <c r="E39" s="74"/>
      <c r="F39" s="74"/>
      <c r="G39" s="74"/>
      <c r="H39" s="74"/>
      <c r="I39" s="75"/>
      <c r="J39" s="39"/>
    </row>
    <row r="40" spans="1:10" ht="15" customHeight="1" x14ac:dyDescent="0.25">
      <c r="A40" s="38"/>
      <c r="B40" s="76"/>
      <c r="C40" s="121"/>
      <c r="D40" s="122"/>
      <c r="E40" s="74"/>
      <c r="F40" s="74"/>
      <c r="G40" s="74"/>
      <c r="H40" s="74"/>
      <c r="I40" s="75"/>
      <c r="J40" s="39"/>
    </row>
    <row r="41" spans="1:10" ht="15" customHeight="1" x14ac:dyDescent="0.25">
      <c r="A41" s="38"/>
      <c r="B41" s="76"/>
      <c r="C41" s="121"/>
      <c r="D41" s="122"/>
      <c r="E41" s="74"/>
      <c r="F41" s="74"/>
      <c r="G41" s="74"/>
      <c r="H41" s="74"/>
      <c r="I41" s="75"/>
      <c r="J41" s="39"/>
    </row>
    <row r="42" spans="1:10" ht="15" customHeight="1" x14ac:dyDescent="0.25">
      <c r="A42" s="38"/>
      <c r="B42" s="76"/>
      <c r="C42" s="121"/>
      <c r="D42" s="122"/>
      <c r="E42" s="74"/>
      <c r="F42" s="74"/>
      <c r="G42" s="74"/>
      <c r="H42" s="74"/>
      <c r="I42" s="75"/>
      <c r="J42" s="39"/>
    </row>
    <row r="43" spans="1:10" ht="15" customHeight="1" x14ac:dyDescent="0.25">
      <c r="A43" s="38"/>
      <c r="B43" s="76"/>
      <c r="C43" s="121"/>
      <c r="D43" s="122"/>
      <c r="E43" s="74"/>
      <c r="F43" s="74"/>
      <c r="G43" s="74"/>
      <c r="H43" s="74"/>
      <c r="I43" s="75"/>
      <c r="J43" s="39"/>
    </row>
    <row r="44" spans="1:10" ht="15" customHeight="1" x14ac:dyDescent="0.25">
      <c r="A44" s="38"/>
      <c r="B44" s="76"/>
      <c r="C44" s="121"/>
      <c r="D44" s="122"/>
      <c r="E44" s="74"/>
      <c r="F44" s="74"/>
      <c r="G44" s="74"/>
      <c r="H44" s="74"/>
      <c r="I44" s="75"/>
      <c r="J44" s="39"/>
    </row>
    <row r="45" spans="1:10" ht="15" customHeight="1" x14ac:dyDescent="0.25">
      <c r="A45" s="38"/>
      <c r="B45" s="76"/>
      <c r="C45" s="121"/>
      <c r="D45" s="122"/>
      <c r="E45" s="74"/>
      <c r="F45" s="74"/>
      <c r="G45" s="74"/>
      <c r="H45" s="74"/>
      <c r="I45" s="75"/>
      <c r="J45" s="39"/>
    </row>
    <row r="46" spans="1:10" ht="15" customHeight="1" x14ac:dyDescent="0.25">
      <c r="A46" s="38"/>
      <c r="B46" s="76"/>
      <c r="C46" s="121"/>
      <c r="D46" s="122"/>
      <c r="E46" s="74"/>
      <c r="F46" s="74"/>
      <c r="G46" s="74"/>
      <c r="H46" s="74"/>
      <c r="I46" s="75"/>
      <c r="J46" s="39"/>
    </row>
    <row r="47" spans="1:10" ht="15" customHeight="1" x14ac:dyDescent="0.25">
      <c r="A47" s="38"/>
      <c r="B47" s="76"/>
      <c r="C47" s="121"/>
      <c r="D47" s="122"/>
      <c r="E47" s="74"/>
      <c r="F47" s="74"/>
      <c r="G47" s="74"/>
      <c r="H47" s="74"/>
      <c r="I47" s="75"/>
      <c r="J47" s="39"/>
    </row>
    <row r="48" spans="1:10" ht="15" customHeight="1" x14ac:dyDescent="0.25">
      <c r="A48" s="38"/>
      <c r="B48" s="76"/>
      <c r="C48" s="121"/>
      <c r="D48" s="122"/>
      <c r="E48" s="74"/>
      <c r="F48" s="74"/>
      <c r="G48" s="74"/>
      <c r="H48" s="74"/>
      <c r="I48" s="75"/>
      <c r="J48" s="39"/>
    </row>
    <row r="49" spans="1:10" ht="15" customHeight="1" x14ac:dyDescent="0.25">
      <c r="A49" s="38"/>
      <c r="B49" s="76"/>
      <c r="C49" s="121"/>
      <c r="D49" s="122"/>
      <c r="E49" s="74"/>
      <c r="F49" s="74"/>
      <c r="G49" s="74"/>
      <c r="H49" s="77"/>
      <c r="I49" s="75"/>
      <c r="J49" s="39"/>
    </row>
    <row r="50" spans="1:10" ht="15" customHeight="1" x14ac:dyDescent="0.25">
      <c r="A50" s="38"/>
      <c r="B50" s="76"/>
      <c r="C50" s="121"/>
      <c r="D50" s="122"/>
      <c r="E50" s="74"/>
      <c r="F50" s="74"/>
      <c r="G50" s="74"/>
      <c r="H50" s="77"/>
      <c r="I50" s="75"/>
      <c r="J50" s="39"/>
    </row>
    <row r="51" spans="1:10" ht="15" customHeight="1" x14ac:dyDescent="0.25">
      <c r="A51" s="38"/>
      <c r="B51" s="76"/>
      <c r="C51" s="121"/>
      <c r="D51" s="122"/>
      <c r="E51" s="74"/>
      <c r="F51" s="74"/>
      <c r="G51" s="74"/>
      <c r="H51" s="77"/>
      <c r="I51" s="75"/>
      <c r="J51" s="39"/>
    </row>
    <row r="52" spans="1:10" ht="15" customHeight="1" x14ac:dyDescent="0.25">
      <c r="A52" s="38"/>
      <c r="B52" s="76"/>
      <c r="C52" s="121"/>
      <c r="D52" s="122"/>
      <c r="E52" s="74"/>
      <c r="F52" s="74"/>
      <c r="G52" s="74"/>
      <c r="H52" s="77"/>
      <c r="I52" s="75"/>
      <c r="J52" s="39"/>
    </row>
    <row r="53" spans="1:10" ht="15" customHeight="1" x14ac:dyDescent="0.25">
      <c r="A53" s="38"/>
      <c r="B53" s="76"/>
      <c r="C53" s="121"/>
      <c r="D53" s="122"/>
      <c r="E53" s="74"/>
      <c r="F53" s="74"/>
      <c r="G53" s="74"/>
      <c r="H53" s="77"/>
      <c r="I53" s="75"/>
      <c r="J53" s="39"/>
    </row>
    <row r="54" spans="1:10" ht="15" customHeight="1" x14ac:dyDescent="0.25">
      <c r="A54" s="38"/>
      <c r="B54" s="76"/>
      <c r="C54" s="121"/>
      <c r="D54" s="122"/>
      <c r="E54" s="74"/>
      <c r="F54" s="74"/>
      <c r="G54" s="74"/>
      <c r="H54" s="77"/>
      <c r="I54" s="75"/>
      <c r="J54" s="39"/>
    </row>
    <row r="55" spans="1:10" ht="15" customHeight="1" x14ac:dyDescent="0.25">
      <c r="A55" s="38"/>
      <c r="B55" s="76"/>
      <c r="C55" s="121"/>
      <c r="D55" s="122"/>
      <c r="E55" s="74"/>
      <c r="F55" s="74"/>
      <c r="G55" s="74"/>
      <c r="H55" s="77"/>
      <c r="I55" s="75"/>
      <c r="J55" s="39"/>
    </row>
    <row r="56" spans="1:10" ht="15" customHeight="1" x14ac:dyDescent="0.25">
      <c r="A56" s="38"/>
      <c r="B56" s="76"/>
      <c r="C56" s="121"/>
      <c r="D56" s="122"/>
      <c r="E56" s="74"/>
      <c r="F56" s="74"/>
      <c r="G56" s="74"/>
      <c r="H56" s="77"/>
      <c r="I56" s="75"/>
      <c r="J56" s="39"/>
    </row>
    <row r="57" spans="1:10" ht="15" customHeight="1" x14ac:dyDescent="0.25">
      <c r="A57" s="38"/>
      <c r="B57" s="76"/>
      <c r="C57" s="121"/>
      <c r="D57" s="122"/>
      <c r="E57" s="74"/>
      <c r="F57" s="74"/>
      <c r="G57" s="74"/>
      <c r="H57" s="77"/>
      <c r="I57" s="75"/>
      <c r="J57" s="39"/>
    </row>
    <row r="58" spans="1:10" ht="15" customHeight="1" x14ac:dyDescent="0.25">
      <c r="A58" s="38"/>
      <c r="B58" s="73"/>
      <c r="C58" s="126"/>
      <c r="D58" s="126"/>
      <c r="E58" s="89"/>
      <c r="F58" s="89"/>
      <c r="G58" s="78"/>
      <c r="H58" s="89"/>
      <c r="I58" s="87"/>
      <c r="J58" s="39"/>
    </row>
    <row r="59" spans="1:10" ht="15" customHeight="1" x14ac:dyDescent="0.25">
      <c r="A59" s="38"/>
      <c r="B59" s="73"/>
      <c r="C59" s="125" t="s">
        <v>70</v>
      </c>
      <c r="D59" s="125"/>
      <c r="E59" s="89"/>
      <c r="F59" s="89"/>
      <c r="G59" s="89">
        <f>SUM(G28:G58)</f>
        <v>8.5</v>
      </c>
      <c r="H59" s="89">
        <f>SUM(H28:H58)</f>
        <v>5</v>
      </c>
      <c r="I59" s="87"/>
      <c r="J59" s="39"/>
    </row>
    <row r="60" spans="1:10" ht="15" customHeight="1" x14ac:dyDescent="0.2">
      <c r="A60" s="38"/>
      <c r="B60" s="73"/>
      <c r="C60" s="125"/>
      <c r="D60" s="125"/>
      <c r="E60" s="89"/>
      <c r="F60" s="89"/>
      <c r="G60" s="89"/>
      <c r="H60" s="89"/>
      <c r="I60" s="84"/>
      <c r="J60" s="39"/>
    </row>
    <row r="61" spans="1:10" ht="15" customHeight="1" x14ac:dyDescent="0.2">
      <c r="A61" s="38"/>
      <c r="B61" s="127" t="s">
        <v>71</v>
      </c>
      <c r="C61" s="128"/>
      <c r="D61" s="128"/>
      <c r="E61" s="128"/>
      <c r="F61" s="128"/>
      <c r="G61" s="128"/>
      <c r="H61" s="128"/>
      <c r="I61" s="129"/>
      <c r="J61" s="39"/>
    </row>
    <row r="62" spans="1:10" ht="15" customHeight="1" x14ac:dyDescent="0.2">
      <c r="A62" s="38"/>
      <c r="B62" s="73"/>
      <c r="C62" s="130"/>
      <c r="D62" s="131"/>
      <c r="E62" s="74"/>
      <c r="F62" s="74"/>
      <c r="G62" s="74"/>
      <c r="H62" s="74"/>
      <c r="I62" s="83"/>
      <c r="J62" s="39"/>
    </row>
    <row r="63" spans="1:10" ht="15" customHeight="1" x14ac:dyDescent="0.2">
      <c r="A63" s="38"/>
      <c r="B63" s="73"/>
      <c r="C63" s="125"/>
      <c r="D63" s="125"/>
      <c r="E63" s="89"/>
      <c r="F63" s="89"/>
      <c r="G63" s="78"/>
      <c r="H63" s="79"/>
      <c r="I63" s="73"/>
      <c r="J63" s="39"/>
    </row>
    <row r="64" spans="1:10" ht="15" customHeight="1" x14ac:dyDescent="0.2">
      <c r="A64" s="38"/>
      <c r="B64" s="73"/>
      <c r="C64" s="125"/>
      <c r="D64" s="125"/>
      <c r="E64" s="89"/>
      <c r="F64" s="89"/>
      <c r="G64" s="78"/>
      <c r="H64" s="78"/>
      <c r="I64" s="73"/>
      <c r="J64" s="39"/>
    </row>
    <row r="65" spans="1:10" ht="15" customHeight="1" x14ac:dyDescent="0.2">
      <c r="A65" s="38"/>
      <c r="B65" s="73"/>
      <c r="C65" s="125"/>
      <c r="D65" s="125"/>
      <c r="E65" s="89"/>
      <c r="F65" s="89"/>
      <c r="G65" s="78"/>
      <c r="H65" s="78"/>
      <c r="I65" s="73"/>
      <c r="J65" s="39"/>
    </row>
    <row r="66" spans="1:10" ht="15" customHeight="1" x14ac:dyDescent="0.2">
      <c r="A66" s="38"/>
      <c r="B66" s="73"/>
      <c r="C66" s="125"/>
      <c r="D66" s="125"/>
      <c r="E66" s="89"/>
      <c r="F66" s="89"/>
      <c r="G66" s="78"/>
      <c r="H66" s="78"/>
      <c r="I66" s="73"/>
      <c r="J66" s="39"/>
    </row>
    <row r="67" spans="1:10" ht="15" customHeight="1" x14ac:dyDescent="0.2">
      <c r="A67" s="38"/>
      <c r="B67" s="73"/>
      <c r="C67" s="125"/>
      <c r="D67" s="125"/>
      <c r="E67" s="89"/>
      <c r="F67" s="89"/>
      <c r="G67" s="89"/>
      <c r="H67" s="89"/>
      <c r="I67" s="73"/>
      <c r="J67" s="39"/>
    </row>
    <row r="68" spans="1:10" ht="15" customHeight="1" x14ac:dyDescent="0.2">
      <c r="A68" s="38"/>
      <c r="B68" s="73"/>
      <c r="C68" s="125"/>
      <c r="D68" s="125"/>
      <c r="E68" s="89"/>
      <c r="F68" s="89"/>
      <c r="G68" s="89"/>
      <c r="H68" s="89"/>
      <c r="I68" s="73"/>
      <c r="J68" s="39"/>
    </row>
    <row r="69" spans="1:10" ht="15" customHeight="1" x14ac:dyDescent="0.2">
      <c r="A69" s="38"/>
      <c r="B69" s="73"/>
      <c r="C69" s="125"/>
      <c r="D69" s="125"/>
      <c r="E69" s="89"/>
      <c r="F69" s="89"/>
      <c r="G69" s="89"/>
      <c r="H69" s="89"/>
      <c r="I69" s="73"/>
      <c r="J69" s="39"/>
    </row>
    <row r="70" spans="1:10" ht="14.25" customHeight="1" thickBot="1" x14ac:dyDescent="0.25">
      <c r="A70" s="80"/>
      <c r="B70" s="85"/>
      <c r="C70" s="85"/>
      <c r="D70" s="85"/>
      <c r="E70" s="85"/>
      <c r="F70" s="86"/>
      <c r="G70" s="86"/>
      <c r="H70" s="86"/>
      <c r="I70" s="86"/>
      <c r="J70" s="81"/>
    </row>
    <row r="65539" spans="6:6" ht="15" x14ac:dyDescent="0.2">
      <c r="F65539" s="74"/>
    </row>
  </sheetData>
  <mergeCells count="72">
    <mergeCell ref="C2:H2"/>
    <mergeCell ref="G4:H4"/>
    <mergeCell ref="D6:E6"/>
    <mergeCell ref="H6:I6"/>
    <mergeCell ref="D7:E7"/>
    <mergeCell ref="H7:I7"/>
    <mergeCell ref="H8:I8"/>
    <mergeCell ref="H9:I9"/>
    <mergeCell ref="E10:F10"/>
    <mergeCell ref="E11:F11"/>
    <mergeCell ref="D13:F13"/>
    <mergeCell ref="H13:I13"/>
    <mergeCell ref="D14:F14"/>
    <mergeCell ref="H14:I14"/>
    <mergeCell ref="B16:I16"/>
    <mergeCell ref="E17:I17"/>
    <mergeCell ref="E18:G18"/>
    <mergeCell ref="H18:I18"/>
    <mergeCell ref="E19:G19"/>
    <mergeCell ref="H19:I19"/>
    <mergeCell ref="E20:G20"/>
    <mergeCell ref="H20:I20"/>
    <mergeCell ref="E21:G21"/>
    <mergeCell ref="H21:I21"/>
    <mergeCell ref="C33:D33"/>
    <mergeCell ref="E22:G22"/>
    <mergeCell ref="H22:I22"/>
    <mergeCell ref="E23:I23"/>
    <mergeCell ref="E24:I24"/>
    <mergeCell ref="C26:D26"/>
    <mergeCell ref="I27:J27"/>
    <mergeCell ref="C28:D28"/>
    <mergeCell ref="C29:D29"/>
    <mergeCell ref="C30:D30"/>
    <mergeCell ref="C31:D31"/>
    <mergeCell ref="C32:D32"/>
    <mergeCell ref="C59:D59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69:D69"/>
    <mergeCell ref="B61:I61"/>
    <mergeCell ref="C62:D62"/>
    <mergeCell ref="C63:D63"/>
    <mergeCell ref="C64:D64"/>
    <mergeCell ref="C65:D65"/>
    <mergeCell ref="C66:D66"/>
    <mergeCell ref="C34:D34"/>
    <mergeCell ref="C35:D35"/>
    <mergeCell ref="C36:D36"/>
    <mergeCell ref="C67:D67"/>
    <mergeCell ref="C68:D68"/>
    <mergeCell ref="C60:D60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</mergeCells>
  <printOptions horizontalCentered="1"/>
  <pageMargins left="0.23622047244094491" right="0.23622047244094491" top="0.25" bottom="0.25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Carga de Datos</vt:lpstr>
      <vt:lpstr>Planilla Delivery</vt:lpstr>
      <vt:lpstr>Planilla Delivery PAS</vt:lpstr>
      <vt:lpstr>Manifiesto de carga</vt:lpstr>
      <vt:lpstr>'Manifiesto de carga'!Área_de_impresión</vt:lpstr>
      <vt:lpstr>'Planilla Delivery'!Área_de_impresión</vt:lpstr>
      <vt:lpstr>'Planilla Delivery PAS'!Área_de_impresión</vt:lpstr>
      <vt:lpstr>'Carga de Datos'!DatosExternos_1</vt:lpstr>
      <vt:lpstr>'Planilla Delivery'!OLE_LINK1</vt:lpstr>
      <vt:lpstr>'Planilla Delivery PAS'!OLE_LINK1</vt:lpstr>
    </vt:vector>
  </TitlesOfParts>
  <Company>Windows XP Colossus Edition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agenc</cp:lastModifiedBy>
  <cp:lastPrinted>2022-09-28T18:18:45Z</cp:lastPrinted>
  <dcterms:created xsi:type="dcterms:W3CDTF">2016-08-11T13:59:12Z</dcterms:created>
  <dcterms:modified xsi:type="dcterms:W3CDTF">2022-09-28T18:20:28Z</dcterms:modified>
</cp:coreProperties>
</file>