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B5851613-4537-40DE-9A35-98D4DB458BC0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<sst xmlns="http://schemas.openxmlformats.org/spreadsheetml/2006/main" count="170" uniqueCount="107">
  <si>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</si>
  <si>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</si>
  <si>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</si>
  <si>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</si>
  <si>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</si>
  <si>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</si>
  <si>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</si>
  <si>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</si>
  <si>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</si>
  <si>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</si>
  <si>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</si>
  <si>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</si>
  <si>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</si>
  <si>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</si>
  <si>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</si>
  <si>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</si>
  <si>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</si>
  <si>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</si>
  <si>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</si>
  <si>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</si>
  <si>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</si>
  <si>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</si>
  <si>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</si>
  <si>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</si>
  <si>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</si>
  <si>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</si>
  <si>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</si>
  <si>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</si>
  <si>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</si>
  <si>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</si>
  <si>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</si>
  <si>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</si>
  <si>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</si>
  <si>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</si>
  <si>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</si>
  <si>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</si>
  <si>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</si>
  <si>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</si>
  <si>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</si>
  <si>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</si>
  <si>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</si>
  <si>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</si>
  <si>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</si>
  <si>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</si>
  <si>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</si>
  <si>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</si>
  <si>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</si>
  <si>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</si>
  <si>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</si>
  <si>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</si>
  <si>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</si>
  <si>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</si>
  <si>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</si>
  <si>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</si>
  <si>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</si>
  <si>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</si>
  <si>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</si>
  <si>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</si>
  <si>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</si>
  <si>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</si>
  <si>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</si>
  <si>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</si>
  <si>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</si>
  <si>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</si>
  <si>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</si>
  <si>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</si>
  <si>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</si>
  <si>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</si>
  <si>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</si>
  <si>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</si>
  <si>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</si>
  <si>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</si>
  <si>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</si>
  <si>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</si>
  <si>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</si>
  <si>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</si>
  <si>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</si>
  <si>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</si>
  <si>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</si>
  <si>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OSDE San Luis</t>
  </si>
  <si>
    <t>Av. Illia 86 - SL</t>
  </si>
  <si>
    <t>Jorge Jesus Lopez</t>
  </si>
  <si>
    <t>Buenos Aires 1072 - SL</t>
  </si>
  <si>
    <t>WPX</t>
  </si>
  <si>
    <t>GRU</t>
  </si>
  <si>
    <t>Colgate Palmolive Argentina S.A.</t>
  </si>
  <si>
    <t>Calle 5 y 105 - SL</t>
  </si>
  <si>
    <t>BSL</t>
  </si>
  <si>
    <t>Arcor SAIC</t>
  </si>
  <si>
    <t>Calle 113 entre 1 y 3 - SL</t>
  </si>
  <si>
    <t>H472468286</t>
  </si>
  <si>
    <t>PAS</t>
  </si>
  <si>
    <t>Hector Edgardo Maza</t>
  </si>
  <si>
    <t>Mitre 638 - SL</t>
  </si>
  <si>
    <t>H525634852</t>
  </si>
  <si>
    <t>1088792</t>
  </si>
  <si>
    <t>H483295702</t>
  </si>
  <si>
    <t>Carla Falcón</t>
  </si>
  <si>
    <t>AR</t>
  </si>
  <si>
    <t>Bolsin P&amp;P</t>
  </si>
  <si>
    <t>H483295713</t>
  </si>
  <si>
    <t>Centro Médico Cereca</t>
  </si>
  <si>
    <t>WMX</t>
  </si>
  <si>
    <t>SER</t>
  </si>
  <si>
    <t>US</t>
  </si>
  <si>
    <t>RENAL SRL</t>
  </si>
  <si>
    <t>2 Medical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</si>
</sst>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5</v>
      </c>
      <c r="F1" s="22" t="s">
        <v>45</v>
      </c>
      <c r="G1" s="25">
        <v>44823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53.5</v>
      </c>
      <c r="F2" s="22" t="s">
        <v>38</v>
      </c>
      <c r="G2" s="24">
        <v>0.33333333333333331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44820</v>
      </c>
      <c r="H3" s="13"/>
    </row>
    <row r="4" spans="1:9" ht="22.5" x14ac:dyDescent="0.3">
      <c r="A4" s="13" t="s">
        <v>44</v>
      </c>
      <c r="B4" s="13" t="s">
        <v>90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9291772615</v>
      </c>
      <c r="C6" s="13" t="s">
        <v>91</v>
      </c>
      <c r="D6" s="13" t="s">
        <v>53</v>
      </c>
      <c r="E6" s="13" t="s">
        <v>52</v>
      </c>
      <c r="F6" s="13" t="s">
        <v>92</v>
      </c>
      <c r="G6" s="17" t="s">
        <v>93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94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1296414361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0.5</v>
      </c>
    </row>
    <row r="25" spans="1:9" ht="22.5" x14ac:dyDescent="0.3">
      <c r="A25" s="20">
        <f t="shared" si="1"/>
        <v>2</v>
      </c>
      <c r="B25" s="13">
        <v>3883596032</v>
      </c>
      <c r="C25" s="13" t="s">
        <v>78</v>
      </c>
      <c r="D25" s="13" t="s">
        <v>53</v>
      </c>
      <c r="E25" s="13" t="s">
        <v>52</v>
      </c>
      <c r="F25" s="13" t="s">
        <v>81</v>
      </c>
      <c r="G25" s="13" t="s">
        <v>82</v>
      </c>
      <c r="H25" s="13">
        <v>1</v>
      </c>
      <c r="I25" s="13">
        <v>1</v>
      </c>
    </row>
    <row r="26" spans="1:9" s="18" customFormat="1" ht="22.5" x14ac:dyDescent="0.3">
      <c r="A26" s="20">
        <f t="shared" si="1"/>
        <v>3</v>
      </c>
      <c r="B26" s="13">
        <v>7736123581</v>
      </c>
      <c r="C26" s="13" t="s">
        <v>83</v>
      </c>
      <c r="D26" s="13" t="s">
        <v>84</v>
      </c>
      <c r="E26" s="13" t="s">
        <v>52</v>
      </c>
      <c r="F26" s="13" t="s">
        <v>85</v>
      </c>
      <c r="G26" s="13" t="s">
        <v>86</v>
      </c>
      <c r="H26" s="13">
        <v>1</v>
      </c>
      <c r="I26" s="13">
        <v>12</v>
      </c>
    </row>
    <row r="27" spans="1:9" s="18" customFormat="1" ht="22.5" x14ac:dyDescent="0.3">
      <c r="A27" s="20">
        <f t="shared" si="1"/>
        <v>4</v>
      </c>
      <c r="B27" s="13">
        <v>9673246494</v>
      </c>
      <c r="C27" s="13" t="s">
        <v>83</v>
      </c>
      <c r="D27" s="13" t="s">
        <v>87</v>
      </c>
      <c r="E27" s="13" t="s">
        <v>52</v>
      </c>
      <c r="F27" s="13" t="s">
        <v>88</v>
      </c>
      <c r="G27" s="13" t="s">
        <v>89</v>
      </c>
      <c r="H27" s="13">
        <v>1</v>
      </c>
      <c r="I27" s="13">
        <v>39</v>
      </c>
    </row>
    <row r="28" spans="1:9" ht="22.5" x14ac:dyDescent="0.3">
      <c r="A28" s="20">
        <f t="shared" si="1"/>
        <v>5</v>
      </c>
      <c r="B28" s="13"/>
      <c r="C28" s="13"/>
      <c r="D28" s="13"/>
      <c r="E28" s="13"/>
      <c r="F28" s="13"/>
      <c r="G28" s="13"/>
      <c r="H28" s="13"/>
      <c r="I28" s="13"/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4</v>
      </c>
      <c r="I41" s="13">
        <f>SUM(I24:I40)</f>
        <v>52.5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C24" sqref="C24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44823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5</v>
      </c>
      <c r="G4" s="26" t="s">
        <v>31</v>
      </c>
      <c r="H4" s="30">
        <f>'Carga de Datos'!E2</f>
        <v>53.5</v>
      </c>
      <c r="I4" s="26" t="s">
        <v>36</v>
      </c>
      <c r="J4" s="29" t="str">
        <f>'Carga de Datos'!B22</f>
        <v>H525634852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44823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1296414361</v>
      </c>
      <c r="C9" s="9"/>
      <c r="D9" s="9"/>
      <c r="E9" s="10">
        <f>'Carga de Datos'!H24</f>
        <v>1</v>
      </c>
      <c r="F9" s="21">
        <f>'Carga de Datos'!I24</f>
        <v>0.5</v>
      </c>
      <c r="G9" s="11" t="str">
        <f>'Carga de Datos'!C24</f>
        <v>DOM</v>
      </c>
      <c r="H9" s="4"/>
      <c r="I9" s="4"/>
      <c r="J9" s="9"/>
    </row>
    <row r="10" spans="1:14" x14ac:dyDescent="0.25">
      <c r="A10" s="99"/>
      <c r="B10" s="104" t="str">
        <f>'Carga de Datos'!F24</f>
        <v>OSDE San Luis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Av. Illia 86 -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3883596032</v>
      </c>
      <c r="C12" s="9"/>
      <c r="D12" s="9"/>
      <c r="E12" s="10">
        <f>'Carga de Datos'!H25</f>
        <v>1</v>
      </c>
      <c r="F12" s="21">
        <f>'Carga de Datos'!I25</f>
        <v>1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Jorge Jesus Lopez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Buenos Aires 1072 -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7736123581</v>
      </c>
      <c r="C15" s="9"/>
      <c r="D15" s="9"/>
      <c r="E15" s="10">
        <f>'Carga de Datos'!H26</f>
        <v>1</v>
      </c>
      <c r="F15" s="21">
        <f>'Carga de Datos'!I26</f>
        <v>12</v>
      </c>
      <c r="G15" s="11" t="str">
        <f>'Carga de Datos'!C26</f>
        <v>WPX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Colgate Palmolive Argentina S.A.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Calle 5 y 105 -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9673246494</v>
      </c>
      <c r="C18" s="9"/>
      <c r="D18" s="9"/>
      <c r="E18" s="10">
        <f>'Carga de Datos'!H27</f>
        <v>1</v>
      </c>
      <c r="F18" s="21">
        <f>'Carga de Datos'!I27</f>
        <v>39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Arcor SAIC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Calle 113 entre 1 y 3 -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0</v>
      </c>
      <c r="C21" s="9"/>
      <c r="D21" s="9"/>
      <c r="E21" s="10">
        <f>'Carga de Datos'!H28</f>
        <v>0</v>
      </c>
      <c r="F21" s="21">
        <f>'Carga de Datos'!I28</f>
        <v>0</v>
      </c>
      <c r="G21" s="11">
        <f>'Carga de Datos'!C28</f>
        <v>0</v>
      </c>
      <c r="H21" s="4"/>
      <c r="I21" s="4"/>
      <c r="J21" s="9"/>
    </row>
    <row r="22" spans="1:10" ht="15" customHeight="1" x14ac:dyDescent="0.25">
      <c r="A22" s="99"/>
      <c r="B22" s="104">
        <f>'Carga de Datos'!F28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Datos'!G28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44823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5</v>
      </c>
      <c r="G4" s="26" t="s">
        <v>31</v>
      </c>
      <c r="H4" s="30">
        <f>'Carga de Datos'!E2</f>
        <v>53.5</v>
      </c>
      <c r="I4" s="26" t="s">
        <v>36</v>
      </c>
      <c r="J4" s="29" t="str">
        <f>'Carga de Datos'!B4</f>
        <v>H472468286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44823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9291772615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Hector Edgardo Maza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Mitre 638 -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G9" sqref="G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44823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95</v>
      </c>
      <c r="C7" s="45"/>
      <c r="D7" s="125">
        <f>G59</f>
        <v>3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2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44824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2</v>
      </c>
      <c r="D19" s="66">
        <v>2</v>
      </c>
      <c r="E19" s="146" t="s">
        <v>106</v>
      </c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1</v>
      </c>
      <c r="D20" s="66">
        <v>1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99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96</v>
      </c>
      <c r="J27" s="160"/>
    </row>
    <row r="28" spans="1:10" ht="15" customHeight="1" x14ac:dyDescent="0.25">
      <c r="A28" s="38"/>
      <c r="B28" s="73">
        <v>3805332742</v>
      </c>
      <c r="C28" s="153" t="s">
        <v>97</v>
      </c>
      <c r="D28" s="154"/>
      <c r="E28" s="74" t="s">
        <v>78</v>
      </c>
      <c r="F28" s="74" t="s">
        <v>53</v>
      </c>
      <c r="G28" s="74">
        <v>1</v>
      </c>
      <c r="H28" s="74">
        <v>1</v>
      </c>
      <c r="I28" s="92" t="s">
        <v>98</v>
      </c>
      <c r="J28" s="39"/>
    </row>
    <row r="29" spans="1:10" ht="15" customHeight="1" x14ac:dyDescent="0.25">
      <c r="A29" s="38"/>
      <c r="B29" s="76"/>
      <c r="C29" s="153"/>
      <c r="D29" s="154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53"/>
      <c r="D30" s="154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53"/>
      <c r="D31" s="154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 t="s">
        <v>75</v>
      </c>
      <c r="D35" s="168"/>
      <c r="E35" s="74"/>
      <c r="F35" s="74"/>
      <c r="G35" s="74"/>
      <c r="H35" s="74"/>
      <c r="I35" s="94" t="s">
        <v>100</v>
      </c>
      <c r="J35" s="39"/>
    </row>
    <row r="36" spans="1:10" ht="15" customHeight="1" x14ac:dyDescent="0.25">
      <c r="A36" s="38"/>
      <c r="B36" s="76">
        <v>1198011883</v>
      </c>
      <c r="C36" s="153" t="s">
        <v>101</v>
      </c>
      <c r="D36" s="154"/>
      <c r="E36" s="74" t="s">
        <v>102</v>
      </c>
      <c r="F36" s="74" t="s">
        <v>103</v>
      </c>
      <c r="G36" s="74">
        <v>1</v>
      </c>
      <c r="H36" s="74">
        <v>1</v>
      </c>
      <c r="I36" s="75" t="s">
        <v>104</v>
      </c>
      <c r="J36" s="39"/>
    </row>
    <row r="37" spans="1:10" ht="15" customHeight="1" x14ac:dyDescent="0.25">
      <c r="A37" s="38"/>
      <c r="B37" s="76">
        <v>1059502452</v>
      </c>
      <c r="C37" s="153" t="s">
        <v>105</v>
      </c>
      <c r="D37" s="154"/>
      <c r="E37" s="74" t="s">
        <v>102</v>
      </c>
      <c r="F37" s="74" t="s">
        <v>103</v>
      </c>
      <c r="G37" s="74">
        <v>1</v>
      </c>
      <c r="H37" s="74">
        <v>1</v>
      </c>
      <c r="I37" s="75" t="s">
        <v>104</v>
      </c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3</v>
      </c>
      <c r="H59" s="89">
        <f>SUM(H28:H58)</f>
        <v>3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2022-09-19T17:56:59Z</cp:lastPrinted>
  <dcterms:created xsi:type="dcterms:W3CDTF">2016-08-11T13:59:12Z</dcterms:created>
  <dcterms:modified xsi:type="dcterms:W3CDTF">2022-09-19T18:32:39Z</dcterms:modified>
</cp:coreProperties>
</file>